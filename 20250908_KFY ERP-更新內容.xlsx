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yao/Downloads/"/>
    </mc:Choice>
  </mc:AlternateContent>
  <xr:revisionPtr revIDLastSave="0" documentId="13_ncr:1_{32212336-08FE-9E4A-B245-8A73434FCA52}" xr6:coauthVersionLast="47" xr6:coauthVersionMax="47" xr10:uidLastSave="{00000000-0000-0000-0000-000000000000}"/>
  <bookViews>
    <workbookView xWindow="0" yWindow="880" windowWidth="34200" windowHeight="19900" tabRatio="807" xr2:uid="{00000000-000D-0000-FFFF-FFFF00000000}"/>
  </bookViews>
  <sheets>
    <sheet name="材料 BOM 表" sheetId="2" r:id="rId1"/>
    <sheet name="供應商明細表" sheetId="3" r:id="rId2"/>
    <sheet name="客戶明細表" sheetId="4" r:id="rId3"/>
    <sheet name="客戶訂單明細" sheetId="22" r:id="rId4"/>
    <sheet name="採購單" sheetId="17" r:id="rId5"/>
    <sheet name="已出貨 未出貨明細表 " sheetId="19" r:id="rId6"/>
    <sheet name="報價單" sheetId="8" r:id="rId7"/>
    <sheet name="出貨單" sheetId="16" r:id="rId8"/>
    <sheet name="工作表1" sheetId="23" r:id="rId9"/>
  </sheets>
  <definedNames>
    <definedName name="_xlnm._FilterDatabase" localSheetId="0" hidden="1">'材料 BOM 表'!$A$1:$A$24</definedName>
    <definedName name="_xlnm.Print_Area" localSheetId="7">出貨單!$A$2:$G$37</definedName>
    <definedName name="_xlnm.Print_Area" localSheetId="4">採購單!$A$2:$I$36</definedName>
    <definedName name="_xlnm.Print_Area" localSheetId="6">報價單!$A$2:$H$33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9" i="22" l="1"/>
  <c r="N18" i="22"/>
  <c r="N17" i="22"/>
  <c r="N16" i="22"/>
  <c r="N15" i="22"/>
  <c r="N14" i="22"/>
  <c r="N13" i="22"/>
  <c r="N12" i="22"/>
  <c r="N11" i="22"/>
  <c r="N10" i="22"/>
  <c r="G18" i="16" l="1"/>
  <c r="H13" i="8"/>
  <c r="H14" i="8"/>
  <c r="H12" i="8"/>
  <c r="I13" i="17"/>
  <c r="I14" i="17"/>
  <c r="I15" i="17"/>
  <c r="I12" i="17" l="1"/>
  <c r="O2" i="22"/>
  <c r="N3" i="22"/>
  <c r="O3" i="22"/>
  <c r="I2" i="19"/>
  <c r="I3" i="19"/>
  <c r="H8" i="17"/>
  <c r="G5" i="16"/>
  <c r="I17" i="17" l="1"/>
  <c r="I18" i="17" l="1"/>
  <c r="I19" i="17" s="1"/>
  <c r="H16" i="8"/>
  <c r="H17" i="8" s="1"/>
  <c r="H18" i="8" l="1"/>
</calcChain>
</file>

<file path=xl/sharedStrings.xml><?xml version="1.0" encoding="utf-8"?>
<sst xmlns="http://schemas.openxmlformats.org/spreadsheetml/2006/main" count="633" uniqueCount="318">
  <si>
    <t>印刷</t>
  </si>
  <si>
    <t>產品名稱</t>
  </si>
  <si>
    <t>材料名稱</t>
  </si>
  <si>
    <t>厚度mm</t>
  </si>
  <si>
    <t>單位</t>
  </si>
  <si>
    <t>供應商名稱</t>
  </si>
  <si>
    <t>供應商編號</t>
  </si>
  <si>
    <t>聯絡人</t>
  </si>
  <si>
    <t>電話</t>
  </si>
  <si>
    <t>Email</t>
  </si>
  <si>
    <t>地址</t>
  </si>
  <si>
    <t>主要品項</t>
  </si>
  <si>
    <t>付款方式</t>
  </si>
  <si>
    <t>090xxxxxxx</t>
  </si>
  <si>
    <t>EVA</t>
  </si>
  <si>
    <t>091xxxxxxx</t>
  </si>
  <si>
    <t>客戶編號</t>
  </si>
  <si>
    <t>客戶名稱</t>
  </si>
  <si>
    <t>地址 Address / 電話 Tel / Email（可自行填）</t>
  </si>
  <si>
    <t>danny.lin@Kunyi.vn.com / sales01@kunyi.vn</t>
  </si>
  <si>
    <t>客戶名稱 Customer</t>
  </si>
  <si>
    <t>聯絡人 Contact</t>
  </si>
  <si>
    <t>電話 Phone</t>
  </si>
  <si>
    <t>地址 Address</t>
  </si>
  <si>
    <t>小計 Subtotal</t>
  </si>
  <si>
    <t>總金額 Total</t>
  </si>
  <si>
    <t>附註：報價有效期 30 天；付款條件：下單 50% 訂金、出貨前 50%；交期：確認後 15-30 天（請依實際需求修改）。</t>
  </si>
  <si>
    <t>Prepared by</t>
  </si>
  <si>
    <t>Approved by</t>
  </si>
  <si>
    <t>Company Stamp</t>
  </si>
  <si>
    <t>地址 Address / 電話 Tel / Email:danny.lin@Kunyi.vn.com / sales01@kunyi.vn</t>
    <phoneticPr fontId="1" type="noConversion"/>
  </si>
  <si>
    <t>供應商名稱 Customer</t>
    <phoneticPr fontId="1" type="noConversion"/>
  </si>
  <si>
    <t>供應商單價(VND)</t>
    <phoneticPr fontId="1" type="noConversion"/>
  </si>
  <si>
    <t>公司售價(VND)</t>
    <phoneticPr fontId="1" type="noConversion"/>
  </si>
  <si>
    <t xml:space="preserve">規格 </t>
    <phoneticPr fontId="1" type="noConversion"/>
  </si>
  <si>
    <t>灰色</t>
  </si>
  <si>
    <t>WH-B2</t>
  </si>
  <si>
    <t>Sheet</t>
  </si>
  <si>
    <t>110×270×20mm</t>
  </si>
  <si>
    <t>EVA Sheet 32C</t>
  </si>
  <si>
    <t>EVA-32C-110x270</t>
  </si>
  <si>
    <t>白色</t>
  </si>
  <si>
    <t>WH-A1</t>
  </si>
  <si>
    <t>130×215×14mm</t>
  </si>
  <si>
    <t>EVA Sheet 42C</t>
  </si>
  <si>
    <t>EVA-42C-130x215</t>
  </si>
  <si>
    <t>Remarks / 備註</t>
  </si>
  <si>
    <t>Warehouse Location / 儲位</t>
  </si>
  <si>
    <t>Closing Balance / 期末庫存</t>
  </si>
  <si>
    <t>Outbound Qty / 本期出庫</t>
  </si>
  <si>
    <t>Inbound Qty / 本期入庫</t>
  </si>
  <si>
    <t>Opening Balance / 期初庫存</t>
  </si>
  <si>
    <t>Unit / 單位</t>
  </si>
  <si>
    <t>Specification / 規格</t>
  </si>
  <si>
    <t>Product Name / 品名</t>
  </si>
  <si>
    <t>Product Code</t>
  </si>
  <si>
    <t>No.</t>
  </si>
  <si>
    <t>Status / 狀態</t>
  </si>
  <si>
    <t>PO No. / 採購單號</t>
  </si>
  <si>
    <t>稅號</t>
    <phoneticPr fontId="1" type="noConversion"/>
  </si>
  <si>
    <t>付款方式</t>
    <phoneticPr fontId="1" type="noConversion"/>
  </si>
  <si>
    <t>物料編號</t>
    <phoneticPr fontId="1" type="noConversion"/>
  </si>
  <si>
    <t>公司名稱/COMPANY NAME</t>
    <phoneticPr fontId="1" type="noConversion"/>
  </si>
  <si>
    <t>Balance / 結餘</t>
  </si>
  <si>
    <t>Arrived Date / 到貨日期</t>
  </si>
  <si>
    <t>Arrived Q'ty / 已到數量</t>
  </si>
  <si>
    <t>Unit Price / 單價</t>
  </si>
  <si>
    <t>Q'ty / 訂單數量</t>
  </si>
  <si>
    <t>Item Name / 品名</t>
  </si>
  <si>
    <t>PO Date / 採購日期</t>
  </si>
  <si>
    <t>Customer / 客戶名稱</t>
  </si>
  <si>
    <t>ITEM</t>
    <phoneticPr fontId="1" type="noConversion"/>
  </si>
  <si>
    <t>條件/備註(Condition / MARK)</t>
    <phoneticPr fontId="1" type="noConversion"/>
  </si>
  <si>
    <t>公司名稱/Company name</t>
    <phoneticPr fontId="1" type="noConversion"/>
  </si>
  <si>
    <t>出貨單/DELIVERY NOTE</t>
    <phoneticPr fontId="1" type="noConversion"/>
  </si>
  <si>
    <t>採購單號 Purchase No.</t>
    <phoneticPr fontId="1" type="noConversion"/>
  </si>
  <si>
    <t>送貨單號 Delivery No.</t>
    <phoneticPr fontId="1" type="noConversion"/>
  </si>
  <si>
    <t>PO#/訂單號</t>
    <phoneticPr fontId="1" type="noConversion"/>
  </si>
  <si>
    <t>CÔNG TY IN ẤN NKV</t>
  </si>
  <si>
    <t>Nhi</t>
  </si>
  <si>
    <t>Lô H-03, đường số 2, KCN Long Hậu, Xã Cần Giuộc, Tây Ninh</t>
  </si>
  <si>
    <t>45天</t>
  </si>
  <si>
    <t>60天</t>
  </si>
  <si>
    <t>1101762768</t>
  </si>
  <si>
    <t>CÔNG TY TNHH NEW SHINE</t>
  </si>
  <si>
    <t>1102041293</t>
  </si>
  <si>
    <t>Trâm</t>
  </si>
  <si>
    <t>0357878890</t>
  </si>
  <si>
    <t>Thửa đất số 390, tờ bản đồ số 27, Ấp 5, Xã Mỹ Hạnh, Tỉnh Tây Ninh</t>
  </si>
  <si>
    <t>紙箱廠</t>
  </si>
  <si>
    <t>30天</t>
  </si>
  <si>
    <t>CÔNG TY CỔ PHẦN DV TM &amp; SX LẠC HƯNG</t>
  </si>
  <si>
    <t>0302903103</t>
  </si>
  <si>
    <t>Duyên</t>
  </si>
  <si>
    <t>32A Phan Văn Hớn, Phường Đông Hưng Thuận, Thành phố Hồ Chí Minh, Việt Nam</t>
  </si>
  <si>
    <t>子母扣</t>
  </si>
  <si>
    <t>當天付款</t>
  </si>
  <si>
    <t>CÔNG TY TNHH MỘT THÀNH VIÊN THƯƠNG MẠI HÂM TƯỜNG</t>
  </si>
  <si>
    <t>1101812666</t>
  </si>
  <si>
    <t>Tuyền</t>
  </si>
  <si>
    <t>Lô B12, đường số 3, KCN Tân Đô, Ấp Bình Tiền 2, xã Đức Hòa, Tỉnh Tây Ninh, Việt Nam</t>
  </si>
  <si>
    <t>KY-HT001</t>
  </si>
  <si>
    <t>KY-TT002</t>
  </si>
  <si>
    <t>CÔNG TY TNHH THỰC NGHIỆP VIỆT NAM THIÊN THẠC</t>
  </si>
  <si>
    <t>3702711560</t>
  </si>
  <si>
    <t>Huấn</t>
  </si>
  <si>
    <t>Lô nhà xưởng B5, đường số 4, KCN Tân Đô, xã Đức Hòa, Tỉnh Tây Ninh, Việt Nam</t>
  </si>
  <si>
    <t>FY-NKV001</t>
  </si>
  <si>
    <t>FY-NS002</t>
  </si>
  <si>
    <t>FY-LH003</t>
  </si>
  <si>
    <t>FY-PĐ004</t>
  </si>
  <si>
    <t>CÔNG TY TNHH PHÁT ĐẠT GS</t>
  </si>
  <si>
    <t>3702936839</t>
  </si>
  <si>
    <t>Anh Mười</t>
  </si>
  <si>
    <t>360 Đường Tân Thới Hiệp 21, KP-3, P.Tân Thới Hiệp, Q.12</t>
  </si>
  <si>
    <t>主要產品 / 服務</t>
  </si>
  <si>
    <t>KFY-TO1</t>
  </si>
  <si>
    <t>3500690808</t>
  </si>
  <si>
    <t>CÔNG TY ĐÔNG PHƯƠNG VŨNG TÀU (TO1)</t>
  </si>
  <si>
    <t>Đường số 11, KCN Đông Xuyên, P.Rạch Dừa, TP.HCM, Việt Nam</t>
  </si>
  <si>
    <t>EVA / 印刷</t>
  </si>
  <si>
    <t>KFY-TO2</t>
  </si>
  <si>
    <t>CÔNG TY ĐÔNG PHƯƠNG VŨNG TÀU (TO2)</t>
  </si>
  <si>
    <t>Thương / Anna</t>
  </si>
  <si>
    <t>Phương / Hiệp</t>
  </si>
  <si>
    <t>Lô 14, Đường số 10-15-18, KCN Châu Đức, xã Nghĩa Thành, Thành phố Hồ Chí Minh, Việt Nam.</t>
  </si>
  <si>
    <t>FY-WG</t>
  </si>
  <si>
    <t>CÔNG TY WAGON VN</t>
  </si>
  <si>
    <t>3603213003</t>
  </si>
  <si>
    <t>Như</t>
  </si>
  <si>
    <t>Đường số 6, KCN Nhơn Trạch III - giai đoạn 2, Xã Nhơn Trạch, Tỉnh Đồng Nai</t>
  </si>
  <si>
    <t>0974334354</t>
  </si>
  <si>
    <t>FY-XY</t>
  </si>
  <si>
    <t>CÔNG TY EVATECH VN</t>
  </si>
  <si>
    <t>3701415632</t>
  </si>
  <si>
    <t>Mỹ Linh</t>
  </si>
  <si>
    <t>DH409 KP-Bà Tri, P.Tân Hiệp, Thành phố HCM</t>
  </si>
  <si>
    <t>紙箱</t>
  </si>
  <si>
    <t>CÔNG TY GEN BRIGHT LIGHTING</t>
  </si>
  <si>
    <t>FY-ZH</t>
  </si>
  <si>
    <t>Vương Linh</t>
  </si>
  <si>
    <t>1101909682</t>
  </si>
  <si>
    <t>0343727239</t>
  </si>
  <si>
    <t>Lô B2, Đường số 4, KCN Tân Đô, Xã Đức Hòa, Tỉnh Tây Ninh, Việt Nam</t>
  </si>
  <si>
    <t>SHOE IN 隔板1 16.3*34  MM( SIZE S, M, L)</t>
  </si>
  <si>
    <t>6BF000719</t>
  </si>
  <si>
    <t>340*163mm</t>
  </si>
  <si>
    <t>PCS</t>
  </si>
  <si>
    <t>NS</t>
  </si>
  <si>
    <t>SHOE IN 隔板2 17*36.5 MM</t>
  </si>
  <si>
    <t>6BF000720</t>
  </si>
  <si>
    <t>365*170mm</t>
  </si>
  <si>
    <t>SHOE IN 内盒3 13.75*8.625*6.625 Inch</t>
  </si>
  <si>
    <t>6NH000212</t>
  </si>
  <si>
    <t>349*219*168mm</t>
  </si>
  <si>
    <t>SHOE IN 内盒4 14.75*8.875*6.875 Inch</t>
  </si>
  <si>
    <t>6NH000213</t>
  </si>
  <si>
    <t>375*225*175mm</t>
  </si>
  <si>
    <t>SHOE IN 钉子警示标1 110*42.5 mm 橘色</t>
  </si>
  <si>
    <t>6BF000725</t>
  </si>
  <si>
    <t>吊卡</t>
  </si>
  <si>
    <t>43*110mm</t>
  </si>
  <si>
    <t>NKV</t>
  </si>
  <si>
    <t>SHOE IN 钉子警示标2 108*45mm 银色</t>
  </si>
  <si>
    <t>6BF000726</t>
  </si>
  <si>
    <t>45*108mm</t>
  </si>
  <si>
    <t xml:space="preserve">EB IPF3011L-3/ORB 1000054718 </t>
  </si>
  <si>
    <t>2050202LE00000</t>
  </si>
  <si>
    <t>284.5*254.5mm</t>
  </si>
  <si>
    <t>EB IPF3011L-3/BN 1000054715</t>
  </si>
  <si>
    <t>2050202LF00000</t>
  </si>
  <si>
    <t>EB IPF3011L-3/WHT 1000054719</t>
  </si>
  <si>
    <t>2050202LG00000</t>
  </si>
  <si>
    <t>641GC</t>
  </si>
  <si>
    <t>3"</t>
  </si>
  <si>
    <t>LH</t>
  </si>
  <si>
    <t>20MM 00A BLACK PLASTIC TAG PIN</t>
  </si>
  <si>
    <t>642EN</t>
  </si>
  <si>
    <t>20mm</t>
  </si>
  <si>
    <t>3.5cm TRANSPARENT ROUND PET SITCKER</t>
  </si>
  <si>
    <t>W2AJT</t>
  </si>
  <si>
    <t>貼標</t>
  </si>
  <si>
    <t>3.5cm</t>
  </si>
  <si>
    <t>SH (PCS)</t>
  </si>
  <si>
    <t>121X104CM FLAP7.7CM BLK PLSTC SLIP SHEET</t>
  </si>
  <si>
    <t>6420W</t>
  </si>
  <si>
    <t>Slit sheet</t>
  </si>
  <si>
    <t>121*104cm</t>
  </si>
  <si>
    <t>PC (Sheet)</t>
  </si>
  <si>
    <t>Linki</t>
  </si>
  <si>
    <t>FY-Linki005</t>
  </si>
  <si>
    <t>CÔNG TY TNHH LINKI VIỆT NAM</t>
  </si>
  <si>
    <t>0315508566</t>
  </si>
  <si>
    <t>Chị Dung</t>
  </si>
  <si>
    <t>98 Nguyễn Xuân Khoái, Phường Phú Thọ Hòa, Thành phố Hồ Chí Minh, Việt Nam</t>
  </si>
  <si>
    <t>slit sheet</t>
  </si>
  <si>
    <t>15天</t>
  </si>
  <si>
    <t>Code / 物料編號</t>
  </si>
  <si>
    <t>規格</t>
  </si>
  <si>
    <t>RTA / 出貨日期</t>
  </si>
  <si>
    <t>PA25090038</t>
  </si>
  <si>
    <t xml:space="preserve">SHOE IN 内盒3 13.75*8.625*6.625 Inch </t>
  </si>
  <si>
    <t xml:space="preserve">SHOE IN 钉子警示标1 110*42.5 mm 橘色 </t>
  </si>
  <si>
    <t>58E2766</t>
  </si>
  <si>
    <t>Box / 盒/5000pcs</t>
  </si>
  <si>
    <t>DKE3P25</t>
  </si>
  <si>
    <t>採購單 / PURCHASE LIST</t>
  </si>
  <si>
    <t>按系統自動輸入編號</t>
  </si>
  <si>
    <t>UNIT PRICE
單價(VND)</t>
  </si>
  <si>
    <t>TOTAL AMOUNT
總金額 (VND)</t>
  </si>
  <si>
    <t>MARK 備註</t>
  </si>
  <si>
    <t>UNIT
單位</t>
  </si>
  <si>
    <t>QTY
數量</t>
  </si>
  <si>
    <t>SPECIFICATIOIN
規格</t>
  </si>
  <si>
    <t>VAT 稅金 (8%)</t>
  </si>
  <si>
    <t>VAT 增加 能選擇功能 0%，10%，5%</t>
  </si>
  <si>
    <t>採購日期 Date</t>
  </si>
  <si>
    <t>~ 以下空白 ~</t>
  </si>
  <si>
    <t>報價單 / Quotation</t>
  </si>
  <si>
    <t>UNIT PRICE
單價 (VND)</t>
  </si>
  <si>
    <r>
      <t xml:space="preserve">報價單號 Quotation No. </t>
    </r>
    <r>
      <rPr>
        <b/>
        <sz val="10"/>
        <color rgb="FFFF0000"/>
        <rFont val="Times New Roman"/>
        <family val="1"/>
      </rPr>
      <t>按系統自動輸入編號</t>
    </r>
  </si>
  <si>
    <r>
      <t xml:space="preserve">報價日期 Date </t>
    </r>
    <r>
      <rPr>
        <b/>
        <sz val="10"/>
        <color rgb="FFFF0000"/>
        <rFont val="Times New Roman"/>
        <family val="1"/>
      </rPr>
      <t>按系統自動輸入編號</t>
    </r>
  </si>
  <si>
    <t>客戶名稱 Customer：CÔNG TY ĐÔNG PHƯƠNG VŨNG TÀU (TO1)</t>
  </si>
  <si>
    <t>聯絡人 Contact: Thương / Anna</t>
  </si>
  <si>
    <t>地址 Address: Đường số 11, KCN Đông Xuyên, P.Rạch Dừa, TP.HCM, Việt Nam</t>
  </si>
  <si>
    <t>CODE/物料號</t>
  </si>
  <si>
    <t>提示：輸入產品物料號會自動帶出 產品名稱、單位、單價（可手動修改），金額自動 = 數量×單價</t>
  </si>
  <si>
    <t>出貨日期：按系統自動輸入編號</t>
  </si>
  <si>
    <t>提示：輸入客戶訂單會自動帶出 產品名稱、單位、單價（可手動修改），金額自動 = 數量×單價</t>
  </si>
  <si>
    <t>CODE / 物料號</t>
  </si>
  <si>
    <t>總數量 Total</t>
  </si>
  <si>
    <t>KY-YX003</t>
  </si>
  <si>
    <t>Thành Phố Bến Cát, Tỉnh Bình Dương, Việt Nam</t>
  </si>
  <si>
    <t xml:space="preserve">Lô H8, khu B1, đường D10, khu công nghiệp Rạch Bắp, Phường An Tây, </t>
  </si>
  <si>
    <t>EVA + 貼合</t>
  </si>
  <si>
    <t>EVA +貼合</t>
  </si>
  <si>
    <t>CÔNG TY TNHH YU XIANG</t>
  </si>
  <si>
    <t>Huế</t>
  </si>
  <si>
    <t>KY-DS3</t>
  </si>
  <si>
    <t>CÔNG TY TNHH GIÀY DONA STANDARD VIỆT NAM</t>
  </si>
  <si>
    <t>Hoài</t>
  </si>
  <si>
    <t>KCN Xuân Lộc, Xã Xuân Hòa, Tỉnh Đồng Nai, Việt Nam</t>
  </si>
  <si>
    <t>FY-PC</t>
  </si>
  <si>
    <t>CÔNG TY TNHH POU CHEN VIỆT NAM.</t>
  </si>
  <si>
    <t>VY</t>
  </si>
  <si>
    <t>Đường Nguyễn Ái Quốc, KP An Hòa, Phường Biên Hòa, Tỉnh Đồng Nai, Việt Nam</t>
  </si>
  <si>
    <t xml:space="preserve">Đen 3mm EVA 32c 110*270cm </t>
  </si>
  <si>
    <t xml:space="preserve">Đen 5mm EVA 32c 110*270cm </t>
  </si>
  <si>
    <t xml:space="preserve">Đen 6mm EVA 32c 110*270cm </t>
  </si>
  <si>
    <t xml:space="preserve">Đen 7mm EVA 32c 110*270cm </t>
  </si>
  <si>
    <t>Đen 8mm EVA 32c 110*270cm</t>
  </si>
  <si>
    <t xml:space="preserve">Đen 10mm EVA 32c 110*270cm </t>
  </si>
  <si>
    <t xml:space="preserve">Đen 12mm EVA 32c 110*270cm </t>
  </si>
  <si>
    <t xml:space="preserve">Đen 14mm EVA 32c 110*270cm </t>
  </si>
  <si>
    <t xml:space="preserve">Đen 18mm EVA 32c 110*270cm </t>
  </si>
  <si>
    <t xml:space="preserve">Đen 20mm EVA 32c 110*270cm </t>
  </si>
  <si>
    <t xml:space="preserve">EVA </t>
  </si>
  <si>
    <t>110X270CM</t>
  </si>
  <si>
    <t xml:space="preserve">SH </t>
  </si>
  <si>
    <t>天碩</t>
  </si>
  <si>
    <t>110CMX270CM 16MM 32C BLACK EVA</t>
  </si>
  <si>
    <t>110CMX270CM 3MM 32C BLACK EVA</t>
  </si>
  <si>
    <t>110CMX270CM 5MM 32C BLACK EVA</t>
  </si>
  <si>
    <t>110CMX270CM 6MM 32C BLACK EVA</t>
  </si>
  <si>
    <t>110CMX270CM 7MM 32C BLACK EVA</t>
  </si>
  <si>
    <t>110CMX270CM 8MM 32C BLACK EVA</t>
  </si>
  <si>
    <t>110CMX270CM 10MM 32C BLACK EVA</t>
  </si>
  <si>
    <t>110CMX270CM 12MM 32C BLACK EVA</t>
  </si>
  <si>
    <t>110CMX270CM 18MM 32C BLACK EVA</t>
  </si>
  <si>
    <t>110CMX270CM 20MM 32C BLACK EVA</t>
  </si>
  <si>
    <t>510H8</t>
  </si>
  <si>
    <t xml:space="preserve">110x270CM </t>
  </si>
  <si>
    <t>產品</t>
    <phoneticPr fontId="1" type="noConversion"/>
  </si>
  <si>
    <t>包材印刷</t>
  </si>
  <si>
    <t>包材印刷</t>
    <phoneticPr fontId="1" type="noConversion"/>
  </si>
  <si>
    <t>貼合加工</t>
  </si>
  <si>
    <t>貼合加工</t>
    <phoneticPr fontId="1" type="noConversion"/>
  </si>
  <si>
    <t>餐廳食材</t>
  </si>
  <si>
    <t>餐廳食材</t>
    <phoneticPr fontId="1" type="noConversion"/>
  </si>
  <si>
    <t>蝦仁</t>
    <phoneticPr fontId="1" type="noConversion"/>
  </si>
  <si>
    <t>海鮮</t>
  </si>
  <si>
    <r>
      <rPr>
        <sz val="10"/>
        <color theme="1"/>
        <rFont val="新細明體"/>
        <family val="2"/>
      </rPr>
      <t>海鮮</t>
    </r>
    <phoneticPr fontId="1" type="noConversion"/>
  </si>
  <si>
    <r>
      <rPr>
        <sz val="10"/>
        <color theme="1"/>
        <rFont val="新細明體"/>
        <family val="2"/>
      </rPr>
      <t>肉品</t>
    </r>
    <phoneticPr fontId="1" type="noConversion"/>
  </si>
  <si>
    <r>
      <rPr>
        <sz val="10"/>
        <color theme="1"/>
        <rFont val="新細明體"/>
        <family val="2"/>
      </rPr>
      <t>五穀干糧</t>
    </r>
    <phoneticPr fontId="1" type="noConversion"/>
  </si>
  <si>
    <t>蔬菜生果</t>
  </si>
  <si>
    <r>
      <rPr>
        <sz val="10"/>
        <color theme="1"/>
        <rFont val="新細明體"/>
        <family val="2"/>
      </rPr>
      <t>蔬菜生果</t>
    </r>
    <phoneticPr fontId="1" type="noConversion"/>
  </si>
  <si>
    <r>
      <rPr>
        <sz val="10"/>
        <color theme="1"/>
        <rFont val="新細明體"/>
        <family val="2"/>
      </rPr>
      <t>醬料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2"/>
      </rPr>
      <t>油</t>
    </r>
    <phoneticPr fontId="1" type="noConversion"/>
  </si>
  <si>
    <r>
      <rPr>
        <sz val="10"/>
        <color theme="1"/>
        <rFont val="新細明體"/>
        <family val="2"/>
      </rPr>
      <t>生鮮雞蛋</t>
    </r>
    <phoneticPr fontId="1" type="noConversion"/>
  </si>
  <si>
    <r>
      <rPr>
        <sz val="10"/>
        <color theme="1"/>
        <rFont val="新細明體"/>
        <family val="2"/>
      </rPr>
      <t>吊牌</t>
    </r>
    <phoneticPr fontId="1" type="noConversion"/>
  </si>
  <si>
    <r>
      <rPr>
        <sz val="10"/>
        <color theme="1"/>
        <rFont val="新細明體"/>
        <family val="2"/>
      </rPr>
      <t>貼紙</t>
    </r>
    <phoneticPr fontId="1" type="noConversion"/>
  </si>
  <si>
    <r>
      <rPr>
        <sz val="10"/>
        <color theme="1"/>
        <rFont val="新細明體"/>
        <family val="2"/>
      </rPr>
      <t>包裝紙</t>
    </r>
    <phoneticPr fontId="1" type="noConversion"/>
  </si>
  <si>
    <t>沙巴魚片</t>
    <phoneticPr fontId="1" type="noConversion"/>
  </si>
  <si>
    <t>KG</t>
  </si>
  <si>
    <t>KG</t>
    <phoneticPr fontId="1" type="noConversion"/>
  </si>
  <si>
    <t>蛤蠣</t>
    <phoneticPr fontId="1" type="noConversion"/>
  </si>
  <si>
    <t>三文魚</t>
    <phoneticPr fontId="1" type="noConversion"/>
  </si>
  <si>
    <t>豆芽菜</t>
    <phoneticPr fontId="1" type="noConversion"/>
  </si>
  <si>
    <t>NHV-001</t>
    <phoneticPr fontId="1" type="noConversion"/>
  </si>
  <si>
    <t>NHS-001</t>
    <phoneticPr fontId="1" type="noConversion"/>
  </si>
  <si>
    <t>NHS-002</t>
  </si>
  <si>
    <t>NHS-003</t>
  </si>
  <si>
    <t>NHS-004</t>
  </si>
  <si>
    <r>
      <rPr>
        <sz val="10"/>
        <color theme="1"/>
        <rFont val="新細明體"/>
        <family val="2"/>
      </rPr>
      <t>科勝隆</t>
    </r>
    <phoneticPr fontId="1" type="noConversion"/>
  </si>
  <si>
    <r>
      <rPr>
        <sz val="10"/>
        <color theme="1"/>
        <rFont val="新細明體"/>
        <family val="2"/>
      </rPr>
      <t>天碩</t>
    </r>
    <phoneticPr fontId="1" type="noConversion"/>
  </si>
  <si>
    <t>新展</t>
    <phoneticPr fontId="1" type="noConversion"/>
  </si>
  <si>
    <t>單位</t>
    <phoneticPr fontId="1" type="noConversion"/>
  </si>
  <si>
    <t>MM</t>
  </si>
  <si>
    <t>MM</t>
    <phoneticPr fontId="1" type="noConversion"/>
  </si>
  <si>
    <t>SQ METER</t>
    <phoneticPr fontId="1" type="noConversion"/>
  </si>
  <si>
    <t>YARD</t>
    <phoneticPr fontId="1" type="noConversion"/>
  </si>
  <si>
    <t>BOTTLE</t>
    <phoneticPr fontId="1" type="noConversion"/>
  </si>
  <si>
    <t>BOX</t>
  </si>
  <si>
    <t>BOX</t>
    <phoneticPr fontId="1" type="noConversion"/>
  </si>
  <si>
    <t>LITER</t>
    <phoneticPr fontId="1" type="noConversion"/>
  </si>
  <si>
    <t>CC</t>
    <phoneticPr fontId="1" type="noConversion"/>
  </si>
  <si>
    <t>CM</t>
    <phoneticPr fontId="1" type="noConversion"/>
  </si>
  <si>
    <t>3"00A BLACK PLASTIC TAG PIN/5000 PCS</t>
    <phoneticPr fontId="1" type="noConversion"/>
  </si>
  <si>
    <t>20MM 00A BLACK PLASTIC TAG PIN 5000 PCS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</si>
</sst>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1010000]d/m/yyyy;@"/>
  </numFmts>
  <fonts count="2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sz val="18"/>
      <color theme="1"/>
      <name val="Times New Roman"/>
      <family val="1"/>
    </font>
    <font>
      <b/>
      <sz val="16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color rgb="FF333E48"/>
      <name val="Times New Roman"/>
      <family val="1"/>
    </font>
    <font>
      <sz val="10"/>
      <color rgb="FF333E48"/>
      <name val="Times New Roman"/>
      <family val="1"/>
    </font>
    <font>
      <sz val="10"/>
      <color rgb="FF333E48"/>
      <name val="Times New Roman"/>
      <family val="1"/>
    </font>
    <font>
      <sz val="12"/>
      <color rgb="FF000000"/>
      <name val="Times New Roman"/>
      <family val="1"/>
    </font>
    <font>
      <sz val="12"/>
      <color rgb="FF333333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PMingLiU"/>
      <family val="1"/>
    </font>
    <font>
      <sz val="10"/>
      <color theme="1"/>
      <name val="新細明體"/>
      <family val="2"/>
    </font>
    <font>
      <b/>
      <sz val="12"/>
      <color theme="1"/>
      <name val="新細明體"/>
      <family val="1"/>
      <charset val="136"/>
      <scheme val="major"/>
    </font>
    <font>
      <sz val="12"/>
      <color theme="1"/>
      <name val="新細明體"/>
      <family val="1"/>
      <charset val="136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3" fontId="5" fillId="0" borderId="1" xfId="0" applyNumberFormat="1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/>
    </xf>
    <xf numFmtId="11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3" fillId="0" borderId="0" xfId="0" quotePrefix="1" applyFont="1" applyAlignment="1">
      <alignment vertical="center"/>
    </xf>
    <xf numFmtId="3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vertical="center"/>
    </xf>
    <xf numFmtId="3" fontId="8" fillId="0" borderId="0" xfId="0" applyNumberFormat="1" applyFont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3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3" fontId="9" fillId="0" borderId="0" xfId="0" applyNumberFormat="1" applyFont="1" applyAlignment="1">
      <alignment horizontal="left" vertical="center"/>
    </xf>
    <xf numFmtId="3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horizontal="left" vertical="center"/>
    </xf>
    <xf numFmtId="3" fontId="13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/>
    </xf>
    <xf numFmtId="3" fontId="1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left" vertical="center"/>
    </xf>
    <xf numFmtId="3" fontId="12" fillId="0" borderId="0" xfId="0" applyNumberFormat="1" applyFont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6" fillId="0" borderId="1" xfId="0" applyFont="1" applyBorder="1"/>
    <xf numFmtId="0" fontId="15" fillId="0" borderId="1" xfId="0" applyFont="1" applyBorder="1" applyAlignment="1">
      <alignment horizontal="center"/>
    </xf>
    <xf numFmtId="3" fontId="4" fillId="0" borderId="5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 applyProtection="1">
      <alignment horizontal="center" vertical="center"/>
      <protection locked="0"/>
    </xf>
    <xf numFmtId="14" fontId="17" fillId="2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3" fontId="22" fillId="0" borderId="1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4"/>
  <sheetViews>
    <sheetView tabSelected="1" zoomScale="130" zoomScaleNormal="130" workbookViewId="0">
      <selection activeCell="D14" sqref="D14"/>
    </sheetView>
  </sheetViews>
  <sheetFormatPr baseColWidth="10" defaultColWidth="9" defaultRowHeight="21.5" customHeight="1"/>
  <cols>
    <col min="1" max="1" width="15.59765625" style="5" customWidth="1"/>
    <col min="2" max="2" width="50" style="5" customWidth="1"/>
    <col min="3" max="3" width="26.19921875" style="5" customWidth="1"/>
    <col min="4" max="4" width="25.19921875" style="5" customWidth="1"/>
    <col min="5" max="5" width="21.796875" style="5" customWidth="1"/>
    <col min="6" max="6" width="13.796875" style="15" customWidth="1"/>
    <col min="7" max="7" width="20.3984375" style="5" customWidth="1"/>
    <col min="8" max="8" width="14.796875" style="5" bestFit="1" customWidth="1"/>
    <col min="9" max="9" width="21.796875" style="15" bestFit="1" customWidth="1"/>
    <col min="10" max="10" width="19.19921875" style="15" bestFit="1" customWidth="1"/>
    <col min="11" max="11" width="12.796875" style="5" customWidth="1"/>
    <col min="12" max="16384" width="9" style="5"/>
  </cols>
  <sheetData>
    <row r="1" spans="1:10" s="69" customFormat="1" ht="21.5" customHeight="1">
      <c r="A1" s="67" t="s">
        <v>272</v>
      </c>
      <c r="B1" s="67" t="s">
        <v>1</v>
      </c>
      <c r="C1" s="67" t="s">
        <v>61</v>
      </c>
      <c r="D1" s="67" t="s">
        <v>2</v>
      </c>
      <c r="E1" s="67" t="s">
        <v>34</v>
      </c>
      <c r="F1" s="68" t="s">
        <v>305</v>
      </c>
      <c r="G1" s="67" t="s">
        <v>4</v>
      </c>
      <c r="H1" s="67" t="s">
        <v>5</v>
      </c>
      <c r="I1" s="68" t="s">
        <v>32</v>
      </c>
      <c r="J1" s="68" t="s">
        <v>33</v>
      </c>
    </row>
    <row r="2" spans="1:10" ht="21.5" customHeight="1">
      <c r="A2" s="70" t="s">
        <v>273</v>
      </c>
      <c r="B2" s="70" t="s">
        <v>144</v>
      </c>
      <c r="C2" s="70" t="s">
        <v>145</v>
      </c>
      <c r="D2" s="71" t="s">
        <v>137</v>
      </c>
      <c r="E2" s="4" t="s">
        <v>146</v>
      </c>
      <c r="F2" s="14">
        <v>1</v>
      </c>
      <c r="G2" s="4" t="s">
        <v>147</v>
      </c>
      <c r="H2" s="4" t="s">
        <v>148</v>
      </c>
      <c r="I2" s="14">
        <v>622</v>
      </c>
      <c r="J2" s="14">
        <v>1620</v>
      </c>
    </row>
    <row r="3" spans="1:10" ht="21.5" customHeight="1">
      <c r="A3" s="4" t="s">
        <v>273</v>
      </c>
      <c r="B3" s="4" t="s">
        <v>149</v>
      </c>
      <c r="C3" s="4" t="s">
        <v>150</v>
      </c>
      <c r="D3" s="11" t="s">
        <v>137</v>
      </c>
      <c r="E3" s="4" t="s">
        <v>151</v>
      </c>
      <c r="F3" s="14">
        <v>1</v>
      </c>
      <c r="G3" s="4" t="s">
        <v>147</v>
      </c>
      <c r="H3" s="4" t="s">
        <v>148</v>
      </c>
      <c r="I3" s="14">
        <v>715</v>
      </c>
      <c r="J3" s="14">
        <v>1836</v>
      </c>
    </row>
    <row r="4" spans="1:10" ht="21.5" customHeight="1">
      <c r="A4" s="4" t="s">
        <v>273</v>
      </c>
      <c r="B4" s="4" t="s">
        <v>152</v>
      </c>
      <c r="C4" s="4" t="s">
        <v>153</v>
      </c>
      <c r="D4" s="11" t="s">
        <v>137</v>
      </c>
      <c r="E4" s="4" t="s">
        <v>154</v>
      </c>
      <c r="F4" s="14">
        <v>1</v>
      </c>
      <c r="G4" s="4" t="s">
        <v>147</v>
      </c>
      <c r="H4" s="4" t="s">
        <v>148</v>
      </c>
      <c r="I4" s="14">
        <v>5350</v>
      </c>
      <c r="J4" s="14">
        <v>11502</v>
      </c>
    </row>
    <row r="5" spans="1:10" ht="21.5" customHeight="1">
      <c r="A5" s="4" t="s">
        <v>273</v>
      </c>
      <c r="B5" s="4" t="s">
        <v>155</v>
      </c>
      <c r="C5" s="4" t="s">
        <v>156</v>
      </c>
      <c r="D5" s="11" t="s">
        <v>137</v>
      </c>
      <c r="E5" s="4" t="s">
        <v>157</v>
      </c>
      <c r="F5" s="14">
        <v>1</v>
      </c>
      <c r="G5" s="4" t="s">
        <v>147</v>
      </c>
      <c r="H5" s="4" t="s">
        <v>148</v>
      </c>
      <c r="I5" s="14">
        <v>5488</v>
      </c>
      <c r="J5" s="14">
        <v>12096</v>
      </c>
    </row>
    <row r="6" spans="1:10" ht="21.5" customHeight="1">
      <c r="A6" s="4" t="s">
        <v>273</v>
      </c>
      <c r="B6" s="4" t="s">
        <v>158</v>
      </c>
      <c r="C6" s="4" t="s">
        <v>159</v>
      </c>
      <c r="D6" s="11" t="s">
        <v>137</v>
      </c>
      <c r="E6" s="4" t="s">
        <v>161</v>
      </c>
      <c r="F6" s="14">
        <v>1</v>
      </c>
      <c r="G6" s="4" t="s">
        <v>147</v>
      </c>
      <c r="H6" s="4" t="s">
        <v>148</v>
      </c>
      <c r="I6" s="14">
        <v>880</v>
      </c>
      <c r="J6" s="14">
        <v>1712</v>
      </c>
    </row>
    <row r="7" spans="1:10" ht="21.5" customHeight="1">
      <c r="A7" s="4" t="s">
        <v>273</v>
      </c>
      <c r="B7" s="4" t="s">
        <v>163</v>
      </c>
      <c r="C7" s="4" t="s">
        <v>164</v>
      </c>
      <c r="D7" s="11" t="s">
        <v>137</v>
      </c>
      <c r="E7" s="4" t="s">
        <v>165</v>
      </c>
      <c r="F7" s="14">
        <v>1</v>
      </c>
      <c r="G7" s="4" t="s">
        <v>147</v>
      </c>
      <c r="H7" s="4" t="s">
        <v>148</v>
      </c>
      <c r="I7" s="14">
        <v>730</v>
      </c>
      <c r="J7" s="14">
        <v>1712</v>
      </c>
    </row>
    <row r="8" spans="1:10" ht="21.5" customHeight="1">
      <c r="A8" s="4" t="s">
        <v>273</v>
      </c>
      <c r="B8" s="4" t="s">
        <v>166</v>
      </c>
      <c r="C8" s="4" t="s">
        <v>167</v>
      </c>
      <c r="D8" s="4" t="s">
        <v>160</v>
      </c>
      <c r="E8" s="4" t="s">
        <v>168</v>
      </c>
      <c r="F8" s="14">
        <v>1</v>
      </c>
      <c r="G8" s="4" t="s">
        <v>147</v>
      </c>
      <c r="H8" s="4" t="s">
        <v>148</v>
      </c>
      <c r="I8" s="14">
        <v>980</v>
      </c>
      <c r="J8" s="14">
        <v>1323</v>
      </c>
    </row>
    <row r="9" spans="1:10" ht="21.5" customHeight="1">
      <c r="A9" s="4" t="s">
        <v>273</v>
      </c>
      <c r="B9" s="4" t="s">
        <v>169</v>
      </c>
      <c r="C9" s="4" t="s">
        <v>170</v>
      </c>
      <c r="D9" s="4" t="s">
        <v>160</v>
      </c>
      <c r="E9" s="4" t="s">
        <v>168</v>
      </c>
      <c r="F9" s="14">
        <v>1</v>
      </c>
      <c r="G9" s="4" t="s">
        <v>147</v>
      </c>
      <c r="H9" s="4" t="s">
        <v>148</v>
      </c>
      <c r="I9" s="14">
        <v>980</v>
      </c>
      <c r="J9" s="14">
        <v>1323</v>
      </c>
    </row>
    <row r="10" spans="1:10" ht="21.5" customHeight="1">
      <c r="A10" s="4" t="s">
        <v>273</v>
      </c>
      <c r="B10" s="4" t="s">
        <v>171</v>
      </c>
      <c r="C10" s="4" t="s">
        <v>172</v>
      </c>
      <c r="D10" s="4" t="s">
        <v>160</v>
      </c>
      <c r="E10" s="4" t="s">
        <v>168</v>
      </c>
      <c r="F10" s="14">
        <v>1</v>
      </c>
      <c r="G10" s="4" t="s">
        <v>147</v>
      </c>
      <c r="H10" s="4" t="s">
        <v>148</v>
      </c>
      <c r="I10" s="14">
        <v>980</v>
      </c>
      <c r="J10" s="14">
        <v>1323</v>
      </c>
    </row>
    <row r="11" spans="1:10" ht="21.5" customHeight="1">
      <c r="A11" s="4" t="s">
        <v>273</v>
      </c>
      <c r="B11" s="4" t="s">
        <v>316</v>
      </c>
      <c r="C11" s="4" t="s">
        <v>173</v>
      </c>
      <c r="D11" s="4" t="s">
        <v>95</v>
      </c>
      <c r="E11" s="4" t="s">
        <v>174</v>
      </c>
      <c r="F11" s="14">
        <v>1</v>
      </c>
      <c r="G11" s="4" t="s">
        <v>311</v>
      </c>
      <c r="H11" s="4" t="s">
        <v>175</v>
      </c>
      <c r="I11" s="14">
        <v>49980</v>
      </c>
      <c r="J11" s="14">
        <v>87220</v>
      </c>
    </row>
    <row r="12" spans="1:10" ht="21.5" customHeight="1">
      <c r="A12" s="4" t="s">
        <v>273</v>
      </c>
      <c r="B12" s="4" t="s">
        <v>317</v>
      </c>
      <c r="C12" s="4" t="s">
        <v>177</v>
      </c>
      <c r="D12" s="4" t="s">
        <v>95</v>
      </c>
      <c r="E12" s="4" t="s">
        <v>178</v>
      </c>
      <c r="F12" s="14">
        <v>1</v>
      </c>
      <c r="G12" s="4" t="s">
        <v>311</v>
      </c>
      <c r="H12" s="4" t="s">
        <v>175</v>
      </c>
      <c r="I12" s="14">
        <v>29400</v>
      </c>
      <c r="J12" s="14">
        <v>48020</v>
      </c>
    </row>
    <row r="13" spans="1:10" ht="21.5" customHeight="1">
      <c r="A13" s="4" t="s">
        <v>273</v>
      </c>
      <c r="B13" s="4" t="s">
        <v>179</v>
      </c>
      <c r="C13" s="4" t="s">
        <v>180</v>
      </c>
      <c r="D13" s="4" t="s">
        <v>181</v>
      </c>
      <c r="E13" s="4" t="s">
        <v>182</v>
      </c>
      <c r="F13" s="14">
        <v>1</v>
      </c>
      <c r="G13" s="4" t="s">
        <v>147</v>
      </c>
      <c r="H13" s="4" t="s">
        <v>175</v>
      </c>
      <c r="I13" s="14">
        <v>65</v>
      </c>
      <c r="J13" s="14">
        <v>115</v>
      </c>
    </row>
    <row r="14" spans="1:10" ht="21.5" customHeight="1">
      <c r="A14" s="4" t="s">
        <v>275</v>
      </c>
      <c r="B14" s="48" t="s">
        <v>184</v>
      </c>
      <c r="C14" s="48" t="s">
        <v>185</v>
      </c>
      <c r="D14" s="48" t="s">
        <v>186</v>
      </c>
      <c r="E14" s="48" t="s">
        <v>187</v>
      </c>
      <c r="F14" s="54">
        <v>1</v>
      </c>
      <c r="G14" s="48" t="s">
        <v>183</v>
      </c>
      <c r="H14" s="48" t="s">
        <v>189</v>
      </c>
      <c r="I14" s="54">
        <v>68000</v>
      </c>
      <c r="J14" s="54">
        <v>98000</v>
      </c>
    </row>
    <row r="15" spans="1:10" ht="21.5" customHeight="1">
      <c r="A15" s="4" t="s">
        <v>275</v>
      </c>
      <c r="B15" s="63" t="s">
        <v>246</v>
      </c>
      <c r="C15" s="3">
        <v>51114</v>
      </c>
      <c r="D15" s="3" t="s">
        <v>256</v>
      </c>
      <c r="E15" s="3" t="s">
        <v>257</v>
      </c>
      <c r="F15" s="54">
        <v>1</v>
      </c>
      <c r="G15" s="3" t="s">
        <v>306</v>
      </c>
      <c r="H15" s="3" t="s">
        <v>259</v>
      </c>
      <c r="I15" s="56">
        <v>59700</v>
      </c>
      <c r="J15" s="32">
        <v>79500</v>
      </c>
    </row>
    <row r="16" spans="1:10" ht="21.5" customHeight="1">
      <c r="A16" s="4" t="s">
        <v>275</v>
      </c>
      <c r="B16" s="63" t="s">
        <v>247</v>
      </c>
      <c r="C16" s="3">
        <v>51115</v>
      </c>
      <c r="D16" s="3" t="s">
        <v>256</v>
      </c>
      <c r="E16" s="3" t="s">
        <v>257</v>
      </c>
      <c r="F16" s="54">
        <v>1</v>
      </c>
      <c r="G16" s="3" t="s">
        <v>306</v>
      </c>
      <c r="H16" s="3" t="s">
        <v>259</v>
      </c>
      <c r="I16" s="56">
        <v>99500</v>
      </c>
      <c r="J16" s="32">
        <v>132500</v>
      </c>
    </row>
    <row r="17" spans="1:10" ht="21.5" customHeight="1">
      <c r="A17" s="4" t="s">
        <v>275</v>
      </c>
      <c r="B17" s="63" t="s">
        <v>248</v>
      </c>
      <c r="C17" s="3">
        <v>51116</v>
      </c>
      <c r="D17" s="3" t="s">
        <v>256</v>
      </c>
      <c r="E17" s="3" t="s">
        <v>257</v>
      </c>
      <c r="F17" s="54">
        <v>1</v>
      </c>
      <c r="G17" s="3" t="s">
        <v>306</v>
      </c>
      <c r="H17" s="3" t="s">
        <v>259</v>
      </c>
      <c r="I17" s="56">
        <v>119400</v>
      </c>
      <c r="J17" s="32">
        <v>159000</v>
      </c>
    </row>
    <row r="18" spans="1:10" ht="21.5" customHeight="1">
      <c r="A18" s="4" t="s">
        <v>275</v>
      </c>
      <c r="B18" s="63" t="s">
        <v>249</v>
      </c>
      <c r="C18" s="3">
        <v>51117</v>
      </c>
      <c r="D18" s="3" t="s">
        <v>256</v>
      </c>
      <c r="E18" s="3" t="s">
        <v>257</v>
      </c>
      <c r="F18" s="54">
        <v>1</v>
      </c>
      <c r="G18" s="3" t="s">
        <v>306</v>
      </c>
      <c r="H18" s="3" t="s">
        <v>259</v>
      </c>
      <c r="I18" s="56">
        <v>139300</v>
      </c>
      <c r="J18" s="32">
        <v>185500</v>
      </c>
    </row>
    <row r="19" spans="1:10" ht="21.5" customHeight="1">
      <c r="A19" s="4" t="s">
        <v>275</v>
      </c>
      <c r="B19" s="63" t="s">
        <v>250</v>
      </c>
      <c r="C19" s="3">
        <v>51118</v>
      </c>
      <c r="D19" s="3" t="s">
        <v>256</v>
      </c>
      <c r="E19" s="3" t="s">
        <v>257</v>
      </c>
      <c r="F19" s="54">
        <v>1</v>
      </c>
      <c r="G19" s="3" t="s">
        <v>306</v>
      </c>
      <c r="H19" s="3" t="s">
        <v>259</v>
      </c>
      <c r="I19" s="56">
        <v>159200</v>
      </c>
      <c r="J19" s="32">
        <v>212000</v>
      </c>
    </row>
    <row r="20" spans="1:10" ht="21.5" customHeight="1">
      <c r="A20" s="4" t="s">
        <v>275</v>
      </c>
      <c r="B20" s="63" t="s">
        <v>251</v>
      </c>
      <c r="C20" s="3">
        <v>51119</v>
      </c>
      <c r="D20" s="3" t="s">
        <v>256</v>
      </c>
      <c r="E20" s="3" t="s">
        <v>257</v>
      </c>
      <c r="F20" s="54">
        <v>1</v>
      </c>
      <c r="G20" s="3" t="s">
        <v>306</v>
      </c>
      <c r="H20" s="3" t="s">
        <v>259</v>
      </c>
      <c r="I20" s="56">
        <v>199000</v>
      </c>
      <c r="J20" s="32">
        <v>265000</v>
      </c>
    </row>
    <row r="21" spans="1:10" ht="21.5" customHeight="1">
      <c r="A21" s="4" t="s">
        <v>275</v>
      </c>
      <c r="B21" s="63" t="s">
        <v>252</v>
      </c>
      <c r="C21" s="3">
        <v>51120</v>
      </c>
      <c r="D21" s="3" t="s">
        <v>256</v>
      </c>
      <c r="E21" s="3" t="s">
        <v>257</v>
      </c>
      <c r="F21" s="54">
        <v>1</v>
      </c>
      <c r="G21" s="3" t="s">
        <v>306</v>
      </c>
      <c r="H21" s="3" t="s">
        <v>259</v>
      </c>
      <c r="I21" s="56">
        <v>238800</v>
      </c>
      <c r="J21" s="32">
        <v>318000</v>
      </c>
    </row>
    <row r="22" spans="1:10" ht="21.5" customHeight="1">
      <c r="A22" s="4" t="s">
        <v>275</v>
      </c>
      <c r="B22" s="64" t="s">
        <v>253</v>
      </c>
      <c r="C22" s="3">
        <v>51121</v>
      </c>
      <c r="D22" s="3" t="s">
        <v>256</v>
      </c>
      <c r="E22" s="3" t="s">
        <v>257</v>
      </c>
      <c r="F22" s="54">
        <v>1</v>
      </c>
      <c r="G22" s="3" t="s">
        <v>306</v>
      </c>
      <c r="H22" s="3" t="s">
        <v>259</v>
      </c>
      <c r="I22" s="56">
        <v>278600</v>
      </c>
      <c r="J22" s="32">
        <v>371000</v>
      </c>
    </row>
    <row r="23" spans="1:10" ht="21.5" customHeight="1">
      <c r="A23" s="4" t="s">
        <v>275</v>
      </c>
      <c r="B23" s="64" t="s">
        <v>254</v>
      </c>
      <c r="C23" s="3">
        <v>51122</v>
      </c>
      <c r="D23" s="3" t="s">
        <v>256</v>
      </c>
      <c r="E23" s="3" t="s">
        <v>257</v>
      </c>
      <c r="F23" s="54">
        <v>1</v>
      </c>
      <c r="G23" s="3" t="s">
        <v>306</v>
      </c>
      <c r="H23" s="3" t="s">
        <v>259</v>
      </c>
      <c r="I23" s="56">
        <v>358200</v>
      </c>
      <c r="J23" s="32">
        <v>477000</v>
      </c>
    </row>
    <row r="24" spans="1:10" ht="21.5" customHeight="1">
      <c r="A24" s="4" t="s">
        <v>275</v>
      </c>
      <c r="B24" s="64" t="s">
        <v>255</v>
      </c>
      <c r="C24" s="3">
        <v>51123</v>
      </c>
      <c r="D24" s="3" t="s">
        <v>256</v>
      </c>
      <c r="E24" s="3" t="s">
        <v>257</v>
      </c>
      <c r="F24" s="54">
        <v>1</v>
      </c>
      <c r="G24" s="3" t="s">
        <v>306</v>
      </c>
      <c r="H24" s="3" t="s">
        <v>259</v>
      </c>
      <c r="I24" s="56">
        <v>398000</v>
      </c>
      <c r="J24" s="32">
        <v>530000</v>
      </c>
    </row>
    <row r="25" spans="1:10" ht="21.5" customHeight="1">
      <c r="A25" s="4" t="s">
        <v>277</v>
      </c>
      <c r="B25" s="65" t="s">
        <v>279</v>
      </c>
      <c r="C25" s="49" t="s">
        <v>298</v>
      </c>
      <c r="D25" s="49" t="s">
        <v>280</v>
      </c>
      <c r="E25" s="49"/>
      <c r="F25" s="55">
        <v>1</v>
      </c>
      <c r="G25" s="49" t="s">
        <v>292</v>
      </c>
      <c r="H25" s="49"/>
      <c r="I25" s="55">
        <v>150000</v>
      </c>
      <c r="J25" s="55">
        <v>150000</v>
      </c>
    </row>
    <row r="26" spans="1:10" ht="21.5" customHeight="1">
      <c r="A26" s="4" t="s">
        <v>277</v>
      </c>
      <c r="B26" s="66" t="s">
        <v>291</v>
      </c>
      <c r="C26" s="49" t="s">
        <v>299</v>
      </c>
      <c r="D26" s="4" t="s">
        <v>280</v>
      </c>
      <c r="E26" s="4"/>
      <c r="F26" s="14">
        <v>1</v>
      </c>
      <c r="G26" s="49" t="s">
        <v>292</v>
      </c>
      <c r="H26" s="4"/>
      <c r="I26" s="14">
        <v>60000</v>
      </c>
      <c r="J26" s="14">
        <v>60000</v>
      </c>
    </row>
    <row r="27" spans="1:10" ht="21.5" customHeight="1">
      <c r="A27" s="4" t="s">
        <v>277</v>
      </c>
      <c r="B27" s="66" t="s">
        <v>294</v>
      </c>
      <c r="C27" s="49" t="s">
        <v>300</v>
      </c>
      <c r="D27" s="4" t="s">
        <v>280</v>
      </c>
      <c r="E27" s="4"/>
      <c r="F27" s="14">
        <v>1</v>
      </c>
      <c r="G27" s="49" t="s">
        <v>292</v>
      </c>
      <c r="H27" s="4"/>
      <c r="I27" s="14">
        <v>150000</v>
      </c>
      <c r="J27" s="14">
        <v>150000</v>
      </c>
    </row>
    <row r="28" spans="1:10" ht="21.5" customHeight="1">
      <c r="A28" s="4" t="s">
        <v>277</v>
      </c>
      <c r="B28" s="66" t="s">
        <v>295</v>
      </c>
      <c r="C28" s="49" t="s">
        <v>301</v>
      </c>
      <c r="D28" s="4" t="s">
        <v>280</v>
      </c>
      <c r="E28" s="4"/>
      <c r="F28" s="14">
        <v>1</v>
      </c>
      <c r="G28" s="49" t="s">
        <v>292</v>
      </c>
      <c r="H28" s="4"/>
      <c r="I28" s="14">
        <v>230000</v>
      </c>
      <c r="J28" s="14">
        <v>230000</v>
      </c>
    </row>
    <row r="29" spans="1:10" ht="21.5" customHeight="1">
      <c r="A29" s="4" t="s">
        <v>277</v>
      </c>
      <c r="B29" s="66" t="s">
        <v>296</v>
      </c>
      <c r="C29" s="4" t="s">
        <v>297</v>
      </c>
      <c r="D29" s="4" t="s">
        <v>284</v>
      </c>
      <c r="E29" s="4"/>
      <c r="F29" s="14">
        <v>1</v>
      </c>
      <c r="G29" s="49" t="s">
        <v>292</v>
      </c>
      <c r="H29" s="4"/>
      <c r="I29" s="14">
        <v>15000</v>
      </c>
      <c r="J29" s="14">
        <v>15000</v>
      </c>
    </row>
    <row r="30" spans="1:10" ht="21.5" customHeight="1">
      <c r="A30" s="4" t="s">
        <v>277</v>
      </c>
      <c r="B30" s="4"/>
      <c r="C30" s="4"/>
      <c r="D30" s="4"/>
      <c r="E30" s="4"/>
      <c r="F30" s="14"/>
      <c r="G30" s="4"/>
      <c r="H30" s="4"/>
      <c r="I30" s="14"/>
      <c r="J30" s="14"/>
    </row>
    <row r="31" spans="1:10" ht="21.5" customHeight="1">
      <c r="A31" s="4" t="s">
        <v>277</v>
      </c>
      <c r="B31" s="4"/>
      <c r="C31" s="4"/>
      <c r="D31" s="4"/>
      <c r="E31" s="4"/>
      <c r="F31" s="14"/>
      <c r="G31" s="4"/>
      <c r="H31" s="4"/>
      <c r="I31" s="14"/>
      <c r="J31" s="14"/>
    </row>
    <row r="32" spans="1:10" ht="21.5" customHeight="1">
      <c r="A32" s="4" t="s">
        <v>277</v>
      </c>
      <c r="B32" s="4"/>
      <c r="C32" s="4"/>
      <c r="D32" s="4"/>
      <c r="E32" s="4"/>
      <c r="F32" s="14"/>
      <c r="G32" s="4"/>
      <c r="H32" s="4"/>
      <c r="I32" s="14"/>
      <c r="J32" s="14"/>
    </row>
    <row r="33" spans="2:10" ht="21.5" customHeight="1">
      <c r="B33" s="4"/>
      <c r="C33" s="4"/>
      <c r="D33" s="4"/>
      <c r="E33" s="4"/>
      <c r="F33" s="14"/>
      <c r="G33" s="4"/>
      <c r="H33" s="4"/>
      <c r="I33" s="14"/>
      <c r="J33" s="14"/>
    </row>
    <row r="34" spans="2:10" ht="21.5" customHeight="1">
      <c r="B34" s="4"/>
      <c r="C34" s="4"/>
      <c r="D34" s="4"/>
      <c r="E34" s="4"/>
      <c r="F34" s="14"/>
      <c r="G34" s="4"/>
      <c r="H34" s="4"/>
      <c r="I34" s="14"/>
      <c r="J34" s="14"/>
    </row>
  </sheetData>
  <phoneticPr fontId="1" type="noConversion"/>
  <pageMargins left="0.25" right="0.25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B7320BC-0BC3-F347-9D4E-ABFB187A2214}">
          <x14:formula1>
            <xm:f>工作表1!$A$1:$A$3</xm:f>
          </x14:formula1>
          <xm:sqref>A1:A32</xm:sqref>
        </x14:dataValidation>
        <x14:dataValidation type="list" allowBlank="1" showInputMessage="1" showErrorMessage="1" xr:uid="{C51E4B71-E165-3047-BD7E-90EEBDE13432}">
          <x14:formula1>
            <xm:f>工作表1!$B$1:$B$12</xm:f>
          </x14:formula1>
          <xm:sqref>D26:D29</xm:sqref>
        </x14:dataValidation>
        <x14:dataValidation type="list" allowBlank="1" showInputMessage="1" showErrorMessage="1" xr:uid="{4B861692-B4A7-F946-A9C5-23DDCA28A370}">
          <x14:formula1>
            <xm:f>工作表1!$B$1:$B$15</xm:f>
          </x14:formula1>
          <xm:sqref>D2:D25</xm:sqref>
        </x14:dataValidation>
        <x14:dataValidation type="list" allowBlank="1" showInputMessage="1" showErrorMessage="1" xr:uid="{D7F2C637-85B6-E242-A503-D585A928C12E}">
          <x14:formula1>
            <xm:f>工作表1!$C$1:$C$7</xm:f>
          </x14:formula1>
          <xm:sqref>H1:H1048576</xm:sqref>
        </x14:dataValidation>
        <x14:dataValidation type="list" allowBlank="1" showInputMessage="1" showErrorMessage="1" xr:uid="{89F25223-4965-AE43-9A71-106E31B34D7A}">
          <x14:formula1>
            <xm:f>工作表1!$D$1:$D$12</xm:f>
          </x14:formula1>
          <xm:sqref>G2:G29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zoomScaleNormal="100" workbookViewId="0">
      <selection activeCell="G20" sqref="G20"/>
    </sheetView>
  </sheetViews>
  <sheetFormatPr baseColWidth="10" defaultColWidth="9" defaultRowHeight="17" customHeight="1"/>
  <cols>
    <col min="1" max="1" width="11.19921875" style="5" customWidth="1"/>
    <col min="2" max="2" width="16.3984375" style="5" customWidth="1"/>
    <col min="3" max="3" width="14.3984375" style="5" customWidth="1"/>
    <col min="4" max="4" width="12.59765625" style="5" customWidth="1"/>
    <col min="5" max="5" width="15.19921875" style="5" customWidth="1"/>
    <col min="6" max="6" width="14.796875" style="5" customWidth="1"/>
    <col min="7" max="7" width="18.19921875" style="5" customWidth="1"/>
    <col min="8" max="8" width="11.59765625" style="5" customWidth="1"/>
    <col min="9" max="9" width="13.19921875" style="5" customWidth="1"/>
    <col min="10" max="16384" width="9" style="5"/>
  </cols>
  <sheetData>
    <row r="1" spans="1:9" s="9" customFormat="1" ht="22.5" customHeight="1">
      <c r="A1" s="8" t="s">
        <v>6</v>
      </c>
      <c r="B1" s="8" t="s">
        <v>5</v>
      </c>
      <c r="C1" s="8" t="s">
        <v>59</v>
      </c>
      <c r="D1" s="8" t="s">
        <v>7</v>
      </c>
      <c r="E1" s="8" t="s">
        <v>8</v>
      </c>
      <c r="F1" s="8" t="s">
        <v>9</v>
      </c>
      <c r="G1" s="8" t="s">
        <v>10</v>
      </c>
      <c r="H1" s="8" t="s">
        <v>11</v>
      </c>
      <c r="I1" s="8" t="s">
        <v>12</v>
      </c>
    </row>
    <row r="2" spans="1:9" ht="17" customHeight="1">
      <c r="A2" s="4" t="s">
        <v>101</v>
      </c>
      <c r="B2" s="7" t="s">
        <v>97</v>
      </c>
      <c r="C2" s="6" t="s">
        <v>98</v>
      </c>
      <c r="D2" s="4" t="s">
        <v>99</v>
      </c>
      <c r="E2" s="4"/>
      <c r="F2" s="4"/>
      <c r="G2" s="7" t="s">
        <v>100</v>
      </c>
      <c r="H2" s="4" t="s">
        <v>234</v>
      </c>
      <c r="I2" s="4" t="s">
        <v>81</v>
      </c>
    </row>
    <row r="3" spans="1:9" ht="17" customHeight="1">
      <c r="A3" s="4" t="s">
        <v>102</v>
      </c>
      <c r="B3" s="7" t="s">
        <v>103</v>
      </c>
      <c r="C3" s="6" t="s">
        <v>104</v>
      </c>
      <c r="D3" s="4" t="s">
        <v>105</v>
      </c>
      <c r="E3" s="4">
        <v>937261610</v>
      </c>
      <c r="F3" s="4"/>
      <c r="G3" s="7" t="s">
        <v>106</v>
      </c>
      <c r="H3" s="4" t="s">
        <v>14</v>
      </c>
      <c r="I3" s="4" t="s">
        <v>82</v>
      </c>
    </row>
    <row r="4" spans="1:9" ht="17" customHeight="1">
      <c r="A4" s="4" t="s">
        <v>107</v>
      </c>
      <c r="B4" s="7" t="s">
        <v>78</v>
      </c>
      <c r="C4" s="6" t="s">
        <v>83</v>
      </c>
      <c r="D4" s="4" t="s">
        <v>79</v>
      </c>
      <c r="E4" s="4" t="s">
        <v>15</v>
      </c>
      <c r="F4" s="4"/>
      <c r="G4" s="7" t="s">
        <v>80</v>
      </c>
      <c r="H4" s="4" t="s">
        <v>0</v>
      </c>
      <c r="I4" s="4" t="s">
        <v>82</v>
      </c>
    </row>
    <row r="5" spans="1:9" ht="17" customHeight="1">
      <c r="A5" s="4" t="s">
        <v>108</v>
      </c>
      <c r="B5" s="7" t="s">
        <v>84</v>
      </c>
      <c r="C5" s="6" t="s">
        <v>85</v>
      </c>
      <c r="D5" s="4" t="s">
        <v>86</v>
      </c>
      <c r="E5" s="6" t="s">
        <v>87</v>
      </c>
      <c r="F5" s="4"/>
      <c r="G5" s="7" t="s">
        <v>88</v>
      </c>
      <c r="H5" s="4" t="s">
        <v>89</v>
      </c>
      <c r="I5" s="4" t="s">
        <v>90</v>
      </c>
    </row>
    <row r="6" spans="1:9" ht="17" customHeight="1">
      <c r="A6" s="4" t="s">
        <v>109</v>
      </c>
      <c r="B6" s="7" t="s">
        <v>91</v>
      </c>
      <c r="C6" s="6" t="s">
        <v>92</v>
      </c>
      <c r="D6" s="4" t="s">
        <v>93</v>
      </c>
      <c r="E6" s="4"/>
      <c r="F6" s="4"/>
      <c r="G6" s="7" t="s">
        <v>94</v>
      </c>
      <c r="H6" s="4" t="s">
        <v>95</v>
      </c>
      <c r="I6" s="4" t="s">
        <v>96</v>
      </c>
    </row>
    <row r="7" spans="1:9" ht="17" customHeight="1">
      <c r="A7" s="4" t="s">
        <v>110</v>
      </c>
      <c r="B7" s="7" t="s">
        <v>111</v>
      </c>
      <c r="C7" s="6" t="s">
        <v>112</v>
      </c>
      <c r="D7" s="4" t="s">
        <v>113</v>
      </c>
      <c r="E7" s="4"/>
      <c r="F7" s="4"/>
      <c r="G7" s="7" t="s">
        <v>114</v>
      </c>
      <c r="H7" s="4" t="s">
        <v>0</v>
      </c>
      <c r="I7" s="4" t="s">
        <v>90</v>
      </c>
    </row>
    <row r="8" spans="1:9" ht="17" customHeight="1">
      <c r="A8" s="4" t="s">
        <v>190</v>
      </c>
      <c r="B8" s="7" t="s">
        <v>191</v>
      </c>
      <c r="C8" s="6" t="s">
        <v>192</v>
      </c>
      <c r="D8" s="4" t="s">
        <v>193</v>
      </c>
      <c r="E8" s="4"/>
      <c r="F8" s="4"/>
      <c r="G8" s="7" t="s">
        <v>194</v>
      </c>
      <c r="H8" s="4" t="s">
        <v>195</v>
      </c>
      <c r="I8" s="4" t="s">
        <v>196</v>
      </c>
    </row>
    <row r="9" spans="1:9" ht="16.5" customHeight="1">
      <c r="A9" s="72" t="s">
        <v>231</v>
      </c>
      <c r="B9" s="74" t="s">
        <v>236</v>
      </c>
      <c r="C9" s="72">
        <v>3703245129</v>
      </c>
      <c r="D9" s="72" t="s">
        <v>237</v>
      </c>
      <c r="E9" s="72"/>
      <c r="F9" s="72"/>
      <c r="G9" s="51" t="s">
        <v>233</v>
      </c>
      <c r="H9" s="72" t="s">
        <v>235</v>
      </c>
      <c r="I9" s="72" t="s">
        <v>90</v>
      </c>
    </row>
    <row r="10" spans="1:9" ht="16.5" customHeight="1">
      <c r="A10" s="73"/>
      <c r="B10" s="75"/>
      <c r="C10" s="73"/>
      <c r="D10" s="73"/>
      <c r="E10" s="73"/>
      <c r="F10" s="73"/>
      <c r="G10" s="51" t="s">
        <v>232</v>
      </c>
      <c r="H10" s="73"/>
      <c r="I10" s="73"/>
    </row>
    <row r="11" spans="1:9" ht="17" customHeight="1">
      <c r="A11" s="4"/>
      <c r="B11" s="7"/>
      <c r="C11" s="4"/>
      <c r="D11" s="4"/>
      <c r="E11" s="4"/>
      <c r="F11" s="4"/>
      <c r="G11" s="7"/>
      <c r="H11" s="4"/>
      <c r="I11" s="4"/>
    </row>
    <row r="12" spans="1:9" ht="17" customHeight="1">
      <c r="A12" s="4"/>
      <c r="B12" s="7"/>
      <c r="C12" s="4"/>
      <c r="D12" s="4"/>
      <c r="E12" s="4"/>
      <c r="F12" s="4"/>
      <c r="G12" s="7"/>
      <c r="H12" s="4"/>
      <c r="I12" s="4"/>
    </row>
    <row r="13" spans="1:9" ht="17" customHeight="1">
      <c r="A13" s="4"/>
      <c r="B13" s="7"/>
      <c r="C13" s="4"/>
      <c r="D13" s="4"/>
      <c r="E13" s="4"/>
      <c r="F13" s="4"/>
      <c r="G13" s="7"/>
      <c r="H13" s="4"/>
      <c r="I13" s="4"/>
    </row>
    <row r="14" spans="1:9" ht="17" customHeight="1">
      <c r="A14" s="4"/>
      <c r="B14" s="7"/>
      <c r="C14" s="4"/>
      <c r="D14" s="4"/>
      <c r="E14" s="4"/>
      <c r="F14" s="4"/>
      <c r="G14" s="7"/>
      <c r="H14" s="4"/>
      <c r="I14" s="4"/>
    </row>
    <row r="15" spans="1:9" ht="17" customHeight="1">
      <c r="A15" s="4"/>
      <c r="B15" s="7"/>
      <c r="C15" s="4"/>
      <c r="D15" s="4"/>
      <c r="E15" s="4"/>
      <c r="F15" s="4"/>
      <c r="G15" s="7"/>
      <c r="H15" s="4"/>
      <c r="I15" s="4"/>
    </row>
    <row r="16" spans="1:9" ht="17" customHeight="1">
      <c r="A16" s="4"/>
      <c r="B16" s="7"/>
      <c r="C16" s="4"/>
      <c r="D16" s="4"/>
      <c r="E16" s="4"/>
      <c r="F16" s="4"/>
      <c r="G16" s="7"/>
      <c r="H16" s="4"/>
      <c r="I16" s="4"/>
    </row>
    <row r="17" spans="1:9" ht="17" customHeight="1">
      <c r="A17" s="4"/>
      <c r="B17" s="7"/>
      <c r="C17" s="4"/>
      <c r="D17" s="4"/>
      <c r="E17" s="4"/>
      <c r="F17" s="4"/>
      <c r="G17" s="7"/>
      <c r="H17" s="4"/>
      <c r="I17" s="4"/>
    </row>
  </sheetData>
  <mergeCells count="8">
    <mergeCell ref="H9:H10"/>
    <mergeCell ref="I9:I10"/>
    <mergeCell ref="A9:A10"/>
    <mergeCell ref="B9:B10"/>
    <mergeCell ref="C9:C10"/>
    <mergeCell ref="D9:D10"/>
    <mergeCell ref="E9:E10"/>
    <mergeCell ref="F9:F10"/>
  </mergeCells>
  <phoneticPr fontId="1" type="noConversion"/>
  <pageMargins left="0.75" right="0.75" top="1" bottom="1" header="0.5" footer="0.5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zoomScaleNormal="100" workbookViewId="0">
      <selection activeCell="B3" sqref="B3"/>
    </sheetView>
  </sheetViews>
  <sheetFormatPr baseColWidth="10" defaultColWidth="9" defaultRowHeight="17" customHeight="1"/>
  <cols>
    <col min="1" max="1" width="9.796875" style="5" customWidth="1"/>
    <col min="2" max="2" width="15.796875" style="5" customWidth="1"/>
    <col min="3" max="3" width="12.3984375" style="5" customWidth="1"/>
    <col min="4" max="4" width="14.59765625" style="5" customWidth="1"/>
    <col min="5" max="5" width="16.19921875" style="5" customWidth="1"/>
    <col min="6" max="6" width="11.3984375" style="5" customWidth="1"/>
    <col min="7" max="7" width="19.59765625" style="5" customWidth="1"/>
    <col min="8" max="8" width="20.796875" style="5" customWidth="1"/>
    <col min="9" max="9" width="12.3984375" style="5" customWidth="1"/>
    <col min="10" max="16384" width="9" style="5"/>
  </cols>
  <sheetData>
    <row r="1" spans="1:9" s="9" customFormat="1" ht="20.5" customHeight="1">
      <c r="A1" s="8" t="s">
        <v>16</v>
      </c>
      <c r="B1" s="8" t="s">
        <v>17</v>
      </c>
      <c r="C1" s="8" t="s">
        <v>59</v>
      </c>
      <c r="D1" s="8" t="s">
        <v>7</v>
      </c>
      <c r="E1" s="8" t="s">
        <v>8</v>
      </c>
      <c r="F1" s="8" t="s">
        <v>9</v>
      </c>
      <c r="G1" s="8" t="s">
        <v>10</v>
      </c>
      <c r="H1" s="8" t="s">
        <v>115</v>
      </c>
      <c r="I1" s="8" t="s">
        <v>60</v>
      </c>
    </row>
    <row r="2" spans="1:9" ht="17" customHeight="1">
      <c r="A2" s="4" t="s">
        <v>116</v>
      </c>
      <c r="B2" s="7" t="s">
        <v>118</v>
      </c>
      <c r="C2" s="6" t="s">
        <v>117</v>
      </c>
      <c r="D2" s="4" t="s">
        <v>123</v>
      </c>
      <c r="E2" s="4" t="s">
        <v>13</v>
      </c>
      <c r="F2" s="4"/>
      <c r="G2" s="7" t="s">
        <v>119</v>
      </c>
      <c r="H2" s="4" t="s">
        <v>120</v>
      </c>
      <c r="I2" s="4" t="s">
        <v>90</v>
      </c>
    </row>
    <row r="3" spans="1:9" ht="17" customHeight="1">
      <c r="A3" s="4" t="s">
        <v>121</v>
      </c>
      <c r="B3" s="7" t="s">
        <v>122</v>
      </c>
      <c r="C3" s="6" t="s">
        <v>117</v>
      </c>
      <c r="D3" s="4" t="s">
        <v>124</v>
      </c>
      <c r="E3" s="4" t="s">
        <v>15</v>
      </c>
      <c r="F3" s="4"/>
      <c r="G3" s="7" t="s">
        <v>125</v>
      </c>
      <c r="H3" s="4" t="s">
        <v>120</v>
      </c>
      <c r="I3" s="4" t="s">
        <v>90</v>
      </c>
    </row>
    <row r="4" spans="1:9" ht="17" customHeight="1">
      <c r="A4" s="4" t="s">
        <v>126</v>
      </c>
      <c r="B4" s="7" t="s">
        <v>127</v>
      </c>
      <c r="C4" s="6" t="s">
        <v>128</v>
      </c>
      <c r="D4" s="4" t="s">
        <v>129</v>
      </c>
      <c r="E4" s="6" t="s">
        <v>131</v>
      </c>
      <c r="F4" s="4"/>
      <c r="G4" s="7" t="s">
        <v>130</v>
      </c>
      <c r="H4" s="4" t="s">
        <v>0</v>
      </c>
      <c r="I4" s="4" t="s">
        <v>90</v>
      </c>
    </row>
    <row r="5" spans="1:9" ht="17" customHeight="1">
      <c r="A5" s="4" t="s">
        <v>132</v>
      </c>
      <c r="B5" s="7" t="s">
        <v>133</v>
      </c>
      <c r="C5" s="6" t="s">
        <v>134</v>
      </c>
      <c r="D5" s="4" t="s">
        <v>135</v>
      </c>
      <c r="E5" s="4"/>
      <c r="F5" s="4"/>
      <c r="G5" s="7" t="s">
        <v>136</v>
      </c>
      <c r="H5" s="4" t="s">
        <v>137</v>
      </c>
      <c r="I5" s="4" t="s">
        <v>81</v>
      </c>
    </row>
    <row r="6" spans="1:9" ht="17" customHeight="1">
      <c r="A6" s="4" t="s">
        <v>139</v>
      </c>
      <c r="B6" s="7" t="s">
        <v>138</v>
      </c>
      <c r="C6" s="6" t="s">
        <v>141</v>
      </c>
      <c r="D6" s="4" t="s">
        <v>140</v>
      </c>
      <c r="E6" s="6" t="s">
        <v>142</v>
      </c>
      <c r="F6" s="4"/>
      <c r="G6" s="7" t="s">
        <v>143</v>
      </c>
      <c r="H6" s="4" t="s">
        <v>0</v>
      </c>
      <c r="I6" s="4" t="s">
        <v>90</v>
      </c>
    </row>
    <row r="7" spans="1:9" ht="17" customHeight="1">
      <c r="A7" s="4" t="s">
        <v>238</v>
      </c>
      <c r="B7" s="7" t="s">
        <v>239</v>
      </c>
      <c r="C7" s="53">
        <v>3600834796</v>
      </c>
      <c r="D7" s="4" t="s">
        <v>240</v>
      </c>
      <c r="E7" s="4">
        <v>2513744874</v>
      </c>
      <c r="F7" s="4"/>
      <c r="G7" s="50" t="s">
        <v>241</v>
      </c>
      <c r="H7" s="4" t="s">
        <v>14</v>
      </c>
      <c r="I7" s="4" t="s">
        <v>81</v>
      </c>
    </row>
    <row r="8" spans="1:9" ht="17" customHeight="1">
      <c r="A8" s="4" t="s">
        <v>242</v>
      </c>
      <c r="B8" s="52" t="s">
        <v>243</v>
      </c>
      <c r="C8" s="53">
        <v>3600265571</v>
      </c>
      <c r="D8" s="4" t="s">
        <v>244</v>
      </c>
      <c r="E8" s="4">
        <v>869793964</v>
      </c>
      <c r="F8" s="4"/>
      <c r="G8" s="51" t="s">
        <v>245</v>
      </c>
      <c r="H8" s="4" t="s">
        <v>181</v>
      </c>
      <c r="I8" s="4" t="s">
        <v>81</v>
      </c>
    </row>
    <row r="9" spans="1:9" ht="17" customHeight="1">
      <c r="A9" s="4"/>
      <c r="B9" s="7"/>
      <c r="C9" s="4"/>
      <c r="D9" s="4"/>
      <c r="E9" s="4"/>
      <c r="F9" s="4"/>
      <c r="G9" s="7"/>
      <c r="H9" s="4"/>
      <c r="I9" s="4"/>
    </row>
    <row r="10" spans="1:9" ht="17" customHeight="1">
      <c r="A10" s="4"/>
      <c r="B10" s="7"/>
      <c r="C10" s="4"/>
      <c r="D10" s="4"/>
      <c r="E10" s="4"/>
      <c r="F10" s="4"/>
      <c r="G10" s="7"/>
      <c r="H10" s="4"/>
      <c r="I10" s="4"/>
    </row>
    <row r="11" spans="1:9" ht="17" customHeight="1">
      <c r="A11" s="4"/>
      <c r="B11" s="7"/>
      <c r="C11" s="4"/>
      <c r="D11" s="4"/>
      <c r="E11" s="4"/>
      <c r="F11" s="4"/>
      <c r="G11" s="7"/>
      <c r="H11" s="4"/>
      <c r="I11" s="4"/>
    </row>
    <row r="12" spans="1:9" ht="17" customHeight="1">
      <c r="A12" s="4"/>
      <c r="B12" s="7"/>
      <c r="C12" s="4"/>
      <c r="D12" s="4"/>
      <c r="E12" s="4"/>
      <c r="F12" s="4"/>
      <c r="G12" s="7"/>
      <c r="H12" s="4"/>
      <c r="I12" s="4"/>
    </row>
    <row r="13" spans="1:9" ht="17" customHeight="1">
      <c r="A13" s="4"/>
      <c r="B13" s="7"/>
      <c r="C13" s="4"/>
      <c r="D13" s="4"/>
      <c r="E13" s="4"/>
      <c r="F13" s="4"/>
      <c r="G13" s="7"/>
      <c r="H13" s="4"/>
      <c r="I13" s="4"/>
    </row>
    <row r="14" spans="1:9" ht="17" customHeight="1">
      <c r="A14" s="4"/>
      <c r="B14" s="7"/>
      <c r="C14" s="4"/>
      <c r="D14" s="4"/>
      <c r="E14" s="4"/>
      <c r="F14" s="4"/>
      <c r="G14" s="7"/>
      <c r="H14" s="4"/>
      <c r="I14" s="4"/>
    </row>
  </sheetData>
  <phoneticPr fontId="1" type="noConversion"/>
  <pageMargins left="0.75" right="0.75" top="1" bottom="1" header="0.5" footer="0.5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9"/>
  <sheetViews>
    <sheetView zoomScaleNormal="100" workbookViewId="0">
      <selection activeCell="F23" sqref="F23"/>
    </sheetView>
  </sheetViews>
  <sheetFormatPr baseColWidth="10" defaultColWidth="9" defaultRowHeight="17.5" customHeight="1"/>
  <cols>
    <col min="1" max="1" width="16.796875" style="18" customWidth="1"/>
    <col min="2" max="2" width="17.3984375" style="5" customWidth="1"/>
    <col min="3" max="3" width="38.59765625" style="5" customWidth="1"/>
    <col min="4" max="4" width="44.19921875" style="5" customWidth="1"/>
    <col min="5" max="5" width="15.3984375" style="5" customWidth="1"/>
    <col min="6" max="6" width="18.19921875" style="5" customWidth="1"/>
    <col min="7" max="7" width="9.796875" style="5" customWidth="1"/>
    <col min="8" max="8" width="14.796875" style="5" customWidth="1"/>
    <col min="9" max="9" width="15" style="15" customWidth="1"/>
    <col min="10" max="10" width="16.19921875" style="15" customWidth="1"/>
    <col min="11" max="11" width="16.59765625" style="18" customWidth="1"/>
    <col min="12" max="14" width="20.796875" style="5" customWidth="1"/>
    <col min="15" max="15" width="14.19921875" style="5" customWidth="1"/>
    <col min="16" max="16384" width="9" style="5"/>
  </cols>
  <sheetData>
    <row r="1" spans="1:15" ht="17.5" customHeight="1">
      <c r="A1" s="17" t="s">
        <v>69</v>
      </c>
      <c r="B1" s="8" t="s">
        <v>58</v>
      </c>
      <c r="C1" s="8" t="s">
        <v>70</v>
      </c>
      <c r="D1" s="8" t="s">
        <v>68</v>
      </c>
      <c r="E1" s="8" t="s">
        <v>197</v>
      </c>
      <c r="F1" s="8" t="s">
        <v>198</v>
      </c>
      <c r="G1" s="13" t="s">
        <v>3</v>
      </c>
      <c r="H1" s="8" t="s">
        <v>52</v>
      </c>
      <c r="I1" s="20" t="s">
        <v>67</v>
      </c>
      <c r="J1" s="20" t="s">
        <v>66</v>
      </c>
      <c r="K1" s="21" t="s">
        <v>199</v>
      </c>
      <c r="L1" s="16" t="s">
        <v>65</v>
      </c>
      <c r="M1" s="16" t="s">
        <v>64</v>
      </c>
      <c r="N1" s="16" t="s">
        <v>63</v>
      </c>
      <c r="O1" s="16" t="s">
        <v>57</v>
      </c>
    </row>
    <row r="2" spans="1:15" ht="17.5" customHeight="1">
      <c r="A2" s="22">
        <v>45905</v>
      </c>
      <c r="B2" s="4" t="s">
        <v>200</v>
      </c>
      <c r="C2" s="7" t="s">
        <v>133</v>
      </c>
      <c r="D2" s="7" t="s">
        <v>144</v>
      </c>
      <c r="E2" s="4" t="s">
        <v>145</v>
      </c>
      <c r="F2" s="4" t="s">
        <v>146</v>
      </c>
      <c r="G2" s="4"/>
      <c r="H2" s="4" t="s">
        <v>147</v>
      </c>
      <c r="I2" s="14">
        <v>5040</v>
      </c>
      <c r="J2" s="14">
        <v>1620</v>
      </c>
      <c r="K2" s="22">
        <v>45926</v>
      </c>
      <c r="L2" s="4"/>
      <c r="M2" s="4"/>
      <c r="N2" s="4"/>
      <c r="O2" s="4" t="e">
        <f ca="1">IF(I2-L2&lt;=0,"Completed",IF(TODAY()&gt;#REF!,"Delay","Pending"))</f>
        <v>#REF!</v>
      </c>
    </row>
    <row r="3" spans="1:15" ht="17.5" customHeight="1">
      <c r="A3" s="22">
        <v>45905</v>
      </c>
      <c r="B3" s="4" t="s">
        <v>200</v>
      </c>
      <c r="C3" s="7" t="s">
        <v>133</v>
      </c>
      <c r="D3" s="7" t="s">
        <v>149</v>
      </c>
      <c r="E3" s="4" t="s">
        <v>150</v>
      </c>
      <c r="F3" s="4" t="s">
        <v>151</v>
      </c>
      <c r="G3" s="4"/>
      <c r="H3" s="4" t="s">
        <v>147</v>
      </c>
      <c r="I3" s="14">
        <v>960</v>
      </c>
      <c r="J3" s="14">
        <v>1836</v>
      </c>
      <c r="K3" s="22">
        <v>45926</v>
      </c>
      <c r="L3" s="4">
        <v>0</v>
      </c>
      <c r="M3" s="4"/>
      <c r="N3" s="4">
        <f>I3-L3</f>
        <v>960</v>
      </c>
      <c r="O3" s="4" t="e">
        <f ca="1">IF(I3-L3&lt;=0,"Completed",IF(TODAY()&gt;#REF!,"Delay","Pending"))</f>
        <v>#REF!</v>
      </c>
    </row>
    <row r="4" spans="1:15" ht="17.5" customHeight="1">
      <c r="A4" s="22">
        <v>45905</v>
      </c>
      <c r="B4" s="4" t="s">
        <v>200</v>
      </c>
      <c r="C4" s="7" t="s">
        <v>133</v>
      </c>
      <c r="D4" s="7" t="s">
        <v>201</v>
      </c>
      <c r="E4" s="4" t="s">
        <v>153</v>
      </c>
      <c r="F4" s="4" t="s">
        <v>154</v>
      </c>
      <c r="G4" s="4"/>
      <c r="H4" s="4" t="s">
        <v>147</v>
      </c>
      <c r="I4" s="14">
        <v>2520</v>
      </c>
      <c r="J4" s="14">
        <v>11502</v>
      </c>
      <c r="K4" s="22">
        <v>45926</v>
      </c>
      <c r="L4" s="4"/>
      <c r="M4" s="4"/>
      <c r="N4" s="4"/>
      <c r="O4" s="4"/>
    </row>
    <row r="5" spans="1:15" ht="17.5" customHeight="1">
      <c r="A5" s="22">
        <v>45905</v>
      </c>
      <c r="B5" s="4" t="s">
        <v>200</v>
      </c>
      <c r="C5" s="7" t="s">
        <v>133</v>
      </c>
      <c r="D5" s="7" t="s">
        <v>155</v>
      </c>
      <c r="E5" s="4" t="s">
        <v>156</v>
      </c>
      <c r="F5" s="4" t="s">
        <v>157</v>
      </c>
      <c r="G5" s="4"/>
      <c r="H5" s="4" t="s">
        <v>147</v>
      </c>
      <c r="I5" s="14">
        <v>480</v>
      </c>
      <c r="J5" s="14">
        <v>12096</v>
      </c>
      <c r="K5" s="22">
        <v>45926</v>
      </c>
      <c r="L5" s="4"/>
      <c r="M5" s="4"/>
      <c r="N5" s="4"/>
      <c r="O5" s="4"/>
    </row>
    <row r="6" spans="1:15" ht="17.5" customHeight="1">
      <c r="A6" s="22">
        <v>45905</v>
      </c>
      <c r="B6" s="4" t="s">
        <v>200</v>
      </c>
      <c r="C6" s="7" t="s">
        <v>133</v>
      </c>
      <c r="D6" s="7" t="s">
        <v>202</v>
      </c>
      <c r="E6" s="4" t="s">
        <v>159</v>
      </c>
      <c r="F6" s="4" t="s">
        <v>161</v>
      </c>
      <c r="G6" s="4"/>
      <c r="H6" s="4" t="s">
        <v>147</v>
      </c>
      <c r="I6" s="14">
        <v>3000</v>
      </c>
      <c r="J6" s="14">
        <v>1712</v>
      </c>
      <c r="K6" s="22">
        <v>45926</v>
      </c>
      <c r="L6" s="4"/>
      <c r="M6" s="4"/>
      <c r="N6" s="4"/>
      <c r="O6" s="4"/>
    </row>
    <row r="7" spans="1:15" ht="17.5" customHeight="1">
      <c r="A7" s="22">
        <v>45905</v>
      </c>
      <c r="B7" s="4" t="s">
        <v>200</v>
      </c>
      <c r="C7" s="7" t="s">
        <v>133</v>
      </c>
      <c r="D7" s="7" t="s">
        <v>163</v>
      </c>
      <c r="E7" s="4" t="s">
        <v>164</v>
      </c>
      <c r="F7" s="4" t="s">
        <v>165</v>
      </c>
      <c r="G7" s="4"/>
      <c r="H7" s="4" t="s">
        <v>147</v>
      </c>
      <c r="I7" s="14">
        <v>3000</v>
      </c>
      <c r="J7" s="14">
        <v>1712</v>
      </c>
      <c r="K7" s="22">
        <v>45926</v>
      </c>
      <c r="L7" s="4"/>
      <c r="M7" s="4"/>
      <c r="N7" s="4"/>
      <c r="O7" s="4"/>
    </row>
    <row r="8" spans="1:15" ht="17.5" customHeight="1">
      <c r="A8" s="22">
        <v>45895</v>
      </c>
      <c r="B8" s="23" t="s">
        <v>203</v>
      </c>
      <c r="C8" s="7" t="s">
        <v>118</v>
      </c>
      <c r="D8" s="7" t="s">
        <v>176</v>
      </c>
      <c r="E8" s="4" t="s">
        <v>177</v>
      </c>
      <c r="F8" s="4" t="s">
        <v>178</v>
      </c>
      <c r="G8" s="4"/>
      <c r="H8" s="4" t="s">
        <v>204</v>
      </c>
      <c r="I8" s="14">
        <v>31</v>
      </c>
      <c r="J8" s="14">
        <v>48020</v>
      </c>
      <c r="K8" s="22">
        <v>45912</v>
      </c>
      <c r="L8" s="4"/>
      <c r="M8" s="4"/>
      <c r="N8" s="4"/>
      <c r="O8" s="4"/>
    </row>
    <row r="9" spans="1:15" ht="17.5" customHeight="1">
      <c r="A9" s="22">
        <v>45899</v>
      </c>
      <c r="B9" s="4" t="s">
        <v>205</v>
      </c>
      <c r="C9" s="7" t="s">
        <v>118</v>
      </c>
      <c r="D9" s="7" t="s">
        <v>179</v>
      </c>
      <c r="E9" s="4" t="s">
        <v>180</v>
      </c>
      <c r="F9" s="4" t="s">
        <v>182</v>
      </c>
      <c r="G9" s="4"/>
      <c r="H9" s="4" t="s">
        <v>183</v>
      </c>
      <c r="I9" s="14">
        <v>138000</v>
      </c>
      <c r="J9" s="14">
        <v>115</v>
      </c>
      <c r="K9" s="22">
        <v>45917</v>
      </c>
      <c r="L9" s="4"/>
      <c r="M9" s="4"/>
      <c r="N9" s="4"/>
      <c r="O9" s="4"/>
    </row>
    <row r="10" spans="1:15" ht="17.5" customHeight="1">
      <c r="A10" s="57">
        <v>45905</v>
      </c>
      <c r="B10" s="58">
        <v>5911836</v>
      </c>
      <c r="C10" s="7" t="s">
        <v>122</v>
      </c>
      <c r="D10" s="58" t="s">
        <v>260</v>
      </c>
      <c r="E10" s="58" t="s">
        <v>270</v>
      </c>
      <c r="F10" s="4" t="s">
        <v>271</v>
      </c>
      <c r="G10" s="4">
        <v>16</v>
      </c>
      <c r="H10" s="4" t="s">
        <v>258</v>
      </c>
      <c r="I10" s="58">
        <v>68</v>
      </c>
      <c r="J10" s="59">
        <v>424000</v>
      </c>
      <c r="K10" s="57">
        <v>45926</v>
      </c>
      <c r="L10" s="4"/>
      <c r="M10" s="4"/>
      <c r="N10" s="60">
        <f t="shared" ref="N10:N19" si="0">L10-I10</f>
        <v>-68</v>
      </c>
      <c r="O10" s="4"/>
    </row>
    <row r="11" spans="1:15" ht="17.5" customHeight="1">
      <c r="A11" s="57">
        <v>45905</v>
      </c>
      <c r="B11" s="58">
        <v>5911837</v>
      </c>
      <c r="C11" s="7" t="s">
        <v>122</v>
      </c>
      <c r="D11" s="58" t="s">
        <v>261</v>
      </c>
      <c r="E11" s="58">
        <v>51114</v>
      </c>
      <c r="F11" s="4" t="s">
        <v>271</v>
      </c>
      <c r="G11" s="4">
        <v>3</v>
      </c>
      <c r="H11" s="4" t="s">
        <v>258</v>
      </c>
      <c r="I11" s="58">
        <v>22</v>
      </c>
      <c r="J11" s="59">
        <v>79500</v>
      </c>
      <c r="K11" s="57">
        <v>45926</v>
      </c>
      <c r="L11" s="4"/>
      <c r="M11" s="4"/>
      <c r="N11" s="60">
        <f t="shared" si="0"/>
        <v>-22</v>
      </c>
      <c r="O11" s="4"/>
    </row>
    <row r="12" spans="1:15" ht="17.5" customHeight="1">
      <c r="A12" s="57">
        <v>45905</v>
      </c>
      <c r="B12" s="58">
        <v>5911838</v>
      </c>
      <c r="C12" s="7" t="s">
        <v>122</v>
      </c>
      <c r="D12" s="58" t="s">
        <v>262</v>
      </c>
      <c r="E12" s="58">
        <v>51115</v>
      </c>
      <c r="F12" s="4" t="s">
        <v>271</v>
      </c>
      <c r="G12" s="4">
        <v>5</v>
      </c>
      <c r="H12" s="4" t="s">
        <v>258</v>
      </c>
      <c r="I12" s="58">
        <v>39</v>
      </c>
      <c r="J12" s="59">
        <v>132500</v>
      </c>
      <c r="K12" s="57">
        <v>45926</v>
      </c>
      <c r="L12" s="4"/>
      <c r="M12" s="4"/>
      <c r="N12" s="60">
        <f t="shared" si="0"/>
        <v>-39</v>
      </c>
      <c r="O12" s="4"/>
    </row>
    <row r="13" spans="1:15" ht="17.5" customHeight="1">
      <c r="A13" s="57">
        <v>45905</v>
      </c>
      <c r="B13" s="58">
        <v>5911839</v>
      </c>
      <c r="C13" s="7" t="s">
        <v>122</v>
      </c>
      <c r="D13" s="58" t="s">
        <v>263</v>
      </c>
      <c r="E13" s="58">
        <v>51116</v>
      </c>
      <c r="F13" s="4" t="s">
        <v>271</v>
      </c>
      <c r="G13" s="4">
        <v>6</v>
      </c>
      <c r="H13" s="4" t="s">
        <v>258</v>
      </c>
      <c r="I13" s="58">
        <v>17</v>
      </c>
      <c r="J13" s="59">
        <v>159000</v>
      </c>
      <c r="K13" s="57">
        <v>45926</v>
      </c>
      <c r="L13" s="4"/>
      <c r="M13" s="4"/>
      <c r="N13" s="60">
        <f t="shared" si="0"/>
        <v>-17</v>
      </c>
      <c r="O13" s="4"/>
    </row>
    <row r="14" spans="1:15" ht="17.5" customHeight="1">
      <c r="A14" s="57">
        <v>45905</v>
      </c>
      <c r="B14" s="58">
        <v>5911840</v>
      </c>
      <c r="C14" s="7" t="s">
        <v>122</v>
      </c>
      <c r="D14" s="58" t="s">
        <v>264</v>
      </c>
      <c r="E14" s="58">
        <v>51117</v>
      </c>
      <c r="F14" s="4" t="s">
        <v>271</v>
      </c>
      <c r="G14" s="4">
        <v>7</v>
      </c>
      <c r="H14" s="4" t="s">
        <v>258</v>
      </c>
      <c r="I14" s="58">
        <v>12</v>
      </c>
      <c r="J14" s="59">
        <v>185500</v>
      </c>
      <c r="K14" s="57">
        <v>45926</v>
      </c>
      <c r="L14" s="4"/>
      <c r="M14" s="4"/>
      <c r="N14" s="60">
        <f t="shared" si="0"/>
        <v>-12</v>
      </c>
      <c r="O14" s="4"/>
    </row>
    <row r="15" spans="1:15" ht="17.5" customHeight="1">
      <c r="A15" s="57">
        <v>45905</v>
      </c>
      <c r="B15" s="58">
        <v>5911841</v>
      </c>
      <c r="C15" s="7" t="s">
        <v>122</v>
      </c>
      <c r="D15" s="58" t="s">
        <v>265</v>
      </c>
      <c r="E15" s="58">
        <v>51118</v>
      </c>
      <c r="F15" s="4" t="s">
        <v>271</v>
      </c>
      <c r="G15" s="4">
        <v>8</v>
      </c>
      <c r="H15" s="4" t="s">
        <v>258</v>
      </c>
      <c r="I15" s="58">
        <v>18</v>
      </c>
      <c r="J15" s="59">
        <v>212000</v>
      </c>
      <c r="K15" s="57">
        <v>45926</v>
      </c>
      <c r="L15" s="4"/>
      <c r="M15" s="4"/>
      <c r="N15" s="60">
        <f t="shared" si="0"/>
        <v>-18</v>
      </c>
      <c r="O15" s="4"/>
    </row>
    <row r="16" spans="1:15" ht="17.5" customHeight="1">
      <c r="A16" s="57">
        <v>45905</v>
      </c>
      <c r="B16" s="58">
        <v>5911842</v>
      </c>
      <c r="C16" s="7" t="s">
        <v>122</v>
      </c>
      <c r="D16" s="58" t="s">
        <v>266</v>
      </c>
      <c r="E16" s="58">
        <v>51119</v>
      </c>
      <c r="F16" s="4" t="s">
        <v>271</v>
      </c>
      <c r="G16" s="4">
        <v>10</v>
      </c>
      <c r="H16" s="4" t="s">
        <v>258</v>
      </c>
      <c r="I16" s="58">
        <v>69</v>
      </c>
      <c r="J16" s="59">
        <v>265000</v>
      </c>
      <c r="K16" s="57">
        <v>45926</v>
      </c>
      <c r="L16" s="4"/>
      <c r="M16" s="4"/>
      <c r="N16" s="60">
        <f t="shared" si="0"/>
        <v>-69</v>
      </c>
      <c r="O16" s="4"/>
    </row>
    <row r="17" spans="1:15" ht="17.5" customHeight="1">
      <c r="A17" s="57">
        <v>45905</v>
      </c>
      <c r="B17" s="58">
        <v>5911843</v>
      </c>
      <c r="C17" s="7" t="s">
        <v>122</v>
      </c>
      <c r="D17" s="58" t="s">
        <v>267</v>
      </c>
      <c r="E17" s="58">
        <v>51120</v>
      </c>
      <c r="F17" s="4" t="s">
        <v>271</v>
      </c>
      <c r="G17" s="4">
        <v>12</v>
      </c>
      <c r="H17" s="4" t="s">
        <v>258</v>
      </c>
      <c r="I17" s="58">
        <v>16</v>
      </c>
      <c r="J17" s="59">
        <v>318000</v>
      </c>
      <c r="K17" s="57">
        <v>45926</v>
      </c>
      <c r="L17" s="4"/>
      <c r="M17" s="4"/>
      <c r="N17" s="60">
        <f t="shared" si="0"/>
        <v>-16</v>
      </c>
      <c r="O17" s="4"/>
    </row>
    <row r="18" spans="1:15" ht="17.5" customHeight="1">
      <c r="A18" s="57">
        <v>45905</v>
      </c>
      <c r="B18" s="58">
        <v>5911844</v>
      </c>
      <c r="C18" s="7" t="s">
        <v>122</v>
      </c>
      <c r="D18" s="58" t="s">
        <v>268</v>
      </c>
      <c r="E18" s="58">
        <v>51122</v>
      </c>
      <c r="F18" s="4" t="s">
        <v>271</v>
      </c>
      <c r="G18" s="4">
        <v>18</v>
      </c>
      <c r="H18" s="4" t="s">
        <v>258</v>
      </c>
      <c r="I18" s="58">
        <v>8</v>
      </c>
      <c r="J18" s="59">
        <v>477000</v>
      </c>
      <c r="K18" s="57">
        <v>45926</v>
      </c>
      <c r="L18" s="4"/>
      <c r="M18" s="4"/>
      <c r="N18" s="60">
        <f t="shared" si="0"/>
        <v>-8</v>
      </c>
      <c r="O18" s="4"/>
    </row>
    <row r="19" spans="1:15" ht="17.5" customHeight="1">
      <c r="A19" s="57">
        <v>45905</v>
      </c>
      <c r="B19" s="58">
        <v>5911845</v>
      </c>
      <c r="C19" s="7" t="s">
        <v>122</v>
      </c>
      <c r="D19" s="58" t="s">
        <v>269</v>
      </c>
      <c r="E19" s="58">
        <v>51123</v>
      </c>
      <c r="F19" s="4" t="s">
        <v>271</v>
      </c>
      <c r="G19" s="4">
        <v>20</v>
      </c>
      <c r="H19" s="4" t="s">
        <v>258</v>
      </c>
      <c r="I19" s="58">
        <v>22</v>
      </c>
      <c r="J19" s="59">
        <v>530000</v>
      </c>
      <c r="K19" s="57">
        <v>45926</v>
      </c>
      <c r="L19" s="4"/>
      <c r="M19" s="4"/>
      <c r="N19" s="60">
        <f t="shared" si="0"/>
        <v>-22</v>
      </c>
      <c r="O19" s="4"/>
    </row>
  </sheetData>
  <phoneticPr fontId="1" type="noConversion"/>
  <pageMargins left="0.25" right="0.25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1"/>
  <sheetViews>
    <sheetView zoomScale="90" zoomScaleNormal="90" workbookViewId="0">
      <selection activeCell="A16" sqref="A16:I16"/>
    </sheetView>
  </sheetViews>
  <sheetFormatPr baseColWidth="10" defaultColWidth="9" defaultRowHeight="14"/>
  <cols>
    <col min="1" max="1" width="7.19921875" style="12" customWidth="1"/>
    <col min="2" max="2" width="14.19921875" style="12" customWidth="1"/>
    <col min="3" max="3" width="37.3984375" style="12" customWidth="1"/>
    <col min="4" max="4" width="16.59765625" style="12" customWidth="1"/>
    <col min="5" max="5" width="19.19921875" style="12" customWidth="1"/>
    <col min="6" max="6" width="10" style="12" customWidth="1"/>
    <col min="7" max="7" width="10" style="28" customWidth="1"/>
    <col min="8" max="8" width="13" style="28" customWidth="1"/>
    <col min="9" max="9" width="19.19921875" style="28" customWidth="1"/>
    <col min="10" max="10" width="22.796875" style="12" customWidth="1"/>
    <col min="11" max="16384" width="9" style="12"/>
  </cols>
  <sheetData>
    <row r="1" spans="1:10" ht="30" customHeight="1">
      <c r="A1" s="84" t="s">
        <v>62</v>
      </c>
      <c r="B1" s="84"/>
      <c r="C1" s="84"/>
      <c r="D1" s="84"/>
      <c r="E1" s="84"/>
      <c r="F1" s="84"/>
      <c r="G1" s="84"/>
      <c r="H1" s="84"/>
      <c r="I1" s="84"/>
    </row>
    <row r="2" spans="1:10" ht="28" customHeight="1">
      <c r="A2" s="85" t="s">
        <v>206</v>
      </c>
      <c r="B2" s="85"/>
      <c r="C2" s="85"/>
      <c r="D2" s="85"/>
      <c r="E2" s="85"/>
      <c r="F2" s="85"/>
      <c r="G2" s="85"/>
      <c r="H2" s="85"/>
      <c r="I2" s="85"/>
    </row>
    <row r="3" spans="1:10" ht="20" customHeight="1">
      <c r="A3" s="86" t="s">
        <v>18</v>
      </c>
      <c r="B3" s="76"/>
      <c r="C3" s="76"/>
      <c r="D3" s="76"/>
      <c r="E3" s="76"/>
      <c r="F3" s="76"/>
      <c r="G3" s="76"/>
      <c r="H3" s="76"/>
      <c r="I3" s="76"/>
      <c r="J3" s="12" t="s">
        <v>19</v>
      </c>
    </row>
    <row r="5" spans="1:10" ht="24" customHeight="1">
      <c r="A5" s="77" t="s">
        <v>75</v>
      </c>
      <c r="B5" s="76"/>
      <c r="C5" s="25" t="s">
        <v>207</v>
      </c>
      <c r="D5" s="25"/>
      <c r="F5" s="33" t="s">
        <v>216</v>
      </c>
      <c r="G5" s="12"/>
      <c r="H5" s="29" t="s">
        <v>207</v>
      </c>
    </row>
    <row r="6" spans="1:10" ht="6" customHeight="1"/>
    <row r="7" spans="1:10" ht="17.5" customHeight="1">
      <c r="A7" s="77" t="s">
        <v>31</v>
      </c>
      <c r="B7" s="76"/>
      <c r="C7" s="12" t="s">
        <v>84</v>
      </c>
      <c r="F7" s="33" t="s">
        <v>21</v>
      </c>
      <c r="G7" s="12"/>
      <c r="H7" s="28" t="s">
        <v>86</v>
      </c>
    </row>
    <row r="8" spans="1:10" ht="17.5" customHeight="1">
      <c r="A8" s="77" t="s">
        <v>22</v>
      </c>
      <c r="B8" s="76"/>
      <c r="C8" s="26" t="s">
        <v>87</v>
      </c>
      <c r="D8" s="26"/>
      <c r="F8" s="33" t="s">
        <v>9</v>
      </c>
      <c r="G8" s="12"/>
      <c r="H8" s="28" t="str">
        <f>IFERROR(VLOOKUP($D$7, 客戶明細表!B:F, 4, FALSE), "")</f>
        <v/>
      </c>
    </row>
    <row r="9" spans="1:10" ht="17.5" customHeight="1">
      <c r="A9" s="77" t="s">
        <v>23</v>
      </c>
      <c r="B9" s="76"/>
      <c r="C9" s="12" t="s">
        <v>88</v>
      </c>
      <c r="G9" s="12"/>
      <c r="H9" s="12"/>
      <c r="I9" s="12"/>
    </row>
    <row r="10" spans="1:10" ht="19" customHeight="1">
      <c r="A10" s="76" t="s">
        <v>226</v>
      </c>
      <c r="B10" s="76"/>
      <c r="C10" s="76"/>
      <c r="D10" s="76"/>
      <c r="E10" s="76"/>
      <c r="F10" s="76"/>
      <c r="G10" s="76"/>
      <c r="H10" s="76"/>
      <c r="I10" s="76"/>
    </row>
    <row r="11" spans="1:10" ht="33" customHeight="1">
      <c r="A11" s="30" t="s">
        <v>71</v>
      </c>
      <c r="B11" s="30" t="s">
        <v>77</v>
      </c>
      <c r="C11" s="13" t="s">
        <v>68</v>
      </c>
      <c r="D11" s="30" t="s">
        <v>225</v>
      </c>
      <c r="E11" s="35" t="s">
        <v>213</v>
      </c>
      <c r="F11" s="35" t="s">
        <v>211</v>
      </c>
      <c r="G11" s="34" t="s">
        <v>212</v>
      </c>
      <c r="H11" s="34" t="s">
        <v>208</v>
      </c>
      <c r="I11" s="34" t="s">
        <v>209</v>
      </c>
      <c r="J11" s="30" t="s">
        <v>210</v>
      </c>
    </row>
    <row r="12" spans="1:10" ht="18" customHeight="1">
      <c r="A12" s="3">
        <v>1</v>
      </c>
      <c r="B12" s="31" t="s">
        <v>200</v>
      </c>
      <c r="C12" s="7" t="s">
        <v>144</v>
      </c>
      <c r="D12" s="4" t="s">
        <v>145</v>
      </c>
      <c r="E12" s="4" t="s">
        <v>146</v>
      </c>
      <c r="F12" s="3" t="s">
        <v>147</v>
      </c>
      <c r="G12" s="14">
        <v>5040</v>
      </c>
      <c r="H12" s="14">
        <v>622</v>
      </c>
      <c r="I12" s="32">
        <f>SUM(H12*G12)</f>
        <v>3134880</v>
      </c>
      <c r="J12" s="31"/>
    </row>
    <row r="13" spans="1:10" ht="18" customHeight="1">
      <c r="A13" s="3">
        <v>2</v>
      </c>
      <c r="B13" s="31" t="s">
        <v>200</v>
      </c>
      <c r="C13" s="7" t="s">
        <v>149</v>
      </c>
      <c r="D13" s="4" t="s">
        <v>150</v>
      </c>
      <c r="E13" s="4" t="s">
        <v>151</v>
      </c>
      <c r="F13" s="3" t="s">
        <v>147</v>
      </c>
      <c r="G13" s="14">
        <v>960</v>
      </c>
      <c r="H13" s="14">
        <v>715</v>
      </c>
      <c r="I13" s="32">
        <f t="shared" ref="I13:I15" si="0">SUM(H13*G13)</f>
        <v>686400</v>
      </c>
      <c r="J13" s="31"/>
    </row>
    <row r="14" spans="1:10" ht="18" customHeight="1">
      <c r="A14" s="3">
        <v>3</v>
      </c>
      <c r="B14" s="31" t="s">
        <v>200</v>
      </c>
      <c r="C14" s="7" t="s">
        <v>201</v>
      </c>
      <c r="D14" s="4" t="s">
        <v>153</v>
      </c>
      <c r="E14" s="4" t="s">
        <v>154</v>
      </c>
      <c r="F14" s="3" t="s">
        <v>147</v>
      </c>
      <c r="G14" s="14">
        <v>2520</v>
      </c>
      <c r="H14" s="14">
        <v>5350</v>
      </c>
      <c r="I14" s="32">
        <f t="shared" si="0"/>
        <v>13482000</v>
      </c>
      <c r="J14" s="31"/>
    </row>
    <row r="15" spans="1:10" ht="18" customHeight="1">
      <c r="A15" s="3">
        <v>4</v>
      </c>
      <c r="B15" s="31" t="s">
        <v>200</v>
      </c>
      <c r="C15" s="7" t="s">
        <v>155</v>
      </c>
      <c r="D15" s="4" t="s">
        <v>156</v>
      </c>
      <c r="E15" s="4" t="s">
        <v>157</v>
      </c>
      <c r="F15" s="3" t="s">
        <v>147</v>
      </c>
      <c r="G15" s="14">
        <v>480</v>
      </c>
      <c r="H15" s="14">
        <v>5488</v>
      </c>
      <c r="I15" s="32">
        <f t="shared" si="0"/>
        <v>2634240</v>
      </c>
      <c r="J15" s="31"/>
    </row>
    <row r="16" spans="1:10" ht="18" customHeight="1">
      <c r="A16" s="78" t="s">
        <v>217</v>
      </c>
      <c r="B16" s="78"/>
      <c r="C16" s="78"/>
      <c r="D16" s="78"/>
      <c r="E16" s="78"/>
      <c r="F16" s="78"/>
      <c r="G16" s="78"/>
      <c r="H16" s="78"/>
      <c r="I16" s="78"/>
      <c r="J16" s="31"/>
    </row>
    <row r="17" spans="1:10" ht="18" customHeight="1">
      <c r="A17" s="80"/>
      <c r="B17" s="81"/>
      <c r="C17" s="81"/>
      <c r="D17" s="81"/>
      <c r="E17" s="81"/>
      <c r="F17" s="81"/>
      <c r="G17" s="79" t="s">
        <v>24</v>
      </c>
      <c r="H17" s="79"/>
      <c r="I17" s="32">
        <f>SUM(I12:I16)</f>
        <v>19937520</v>
      </c>
      <c r="J17" s="31"/>
    </row>
    <row r="18" spans="1:10" ht="18" customHeight="1">
      <c r="A18" s="82" t="s">
        <v>215</v>
      </c>
      <c r="B18" s="83"/>
      <c r="C18" s="83"/>
      <c r="D18" s="83"/>
      <c r="E18" s="83"/>
      <c r="F18" s="83"/>
      <c r="G18" s="79" t="s">
        <v>214</v>
      </c>
      <c r="H18" s="79"/>
      <c r="I18" s="32">
        <f>I17*8%</f>
        <v>1595001.6</v>
      </c>
      <c r="J18" s="31"/>
    </row>
    <row r="19" spans="1:10" ht="18" customHeight="1">
      <c r="A19" s="80"/>
      <c r="B19" s="81"/>
      <c r="C19" s="81"/>
      <c r="D19" s="81"/>
      <c r="E19" s="81"/>
      <c r="F19" s="81"/>
      <c r="G19" s="79" t="s">
        <v>25</v>
      </c>
      <c r="H19" s="79"/>
      <c r="I19" s="32">
        <f>I17+I18</f>
        <v>21532521.600000001</v>
      </c>
      <c r="J19" s="31"/>
    </row>
    <row r="20" spans="1:10">
      <c r="A20" s="2"/>
      <c r="B20" s="2"/>
      <c r="C20" s="2"/>
      <c r="D20" s="2"/>
      <c r="E20" s="2"/>
      <c r="F20" s="2"/>
      <c r="G20" s="27"/>
      <c r="H20" s="27"/>
      <c r="I20" s="27"/>
    </row>
    <row r="21" spans="1:10">
      <c r="A21" s="12" t="s">
        <v>72</v>
      </c>
    </row>
    <row r="22" spans="1:10">
      <c r="A22" s="12">
        <v>1</v>
      </c>
    </row>
    <row r="23" spans="1:10">
      <c r="A23" s="12">
        <v>2</v>
      </c>
    </row>
    <row r="24" spans="1:10">
      <c r="A24" s="12">
        <v>3</v>
      </c>
    </row>
    <row r="25" spans="1:10">
      <c r="A25" s="12">
        <v>4</v>
      </c>
    </row>
    <row r="26" spans="1:10">
      <c r="A26" s="12">
        <v>5</v>
      </c>
    </row>
    <row r="27" spans="1:10">
      <c r="A27" s="12">
        <v>6</v>
      </c>
    </row>
    <row r="31" spans="1:10">
      <c r="A31" s="76" t="s">
        <v>27</v>
      </c>
      <c r="B31" s="76"/>
      <c r="C31" s="76"/>
      <c r="D31" s="76"/>
      <c r="E31" s="76" t="s">
        <v>28</v>
      </c>
      <c r="F31" s="76"/>
      <c r="G31" s="76"/>
      <c r="H31" s="76" t="s">
        <v>29</v>
      </c>
      <c r="I31" s="76"/>
    </row>
  </sheetData>
  <mergeCells count="18">
    <mergeCell ref="A7:B7"/>
    <mergeCell ref="A1:I1"/>
    <mergeCell ref="A2:I2"/>
    <mergeCell ref="A3:I3"/>
    <mergeCell ref="A5:B5"/>
    <mergeCell ref="H31:I31"/>
    <mergeCell ref="A8:B8"/>
    <mergeCell ref="A9:B9"/>
    <mergeCell ref="A10:I10"/>
    <mergeCell ref="A16:I16"/>
    <mergeCell ref="G19:H19"/>
    <mergeCell ref="G18:H18"/>
    <mergeCell ref="G17:H17"/>
    <mergeCell ref="A19:F19"/>
    <mergeCell ref="A18:F18"/>
    <mergeCell ref="A17:F17"/>
    <mergeCell ref="A31:D31"/>
    <mergeCell ref="E31:G31"/>
  </mergeCells>
  <phoneticPr fontId="1" type="noConversion"/>
  <pageMargins left="0.25" right="0.25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"/>
  <sheetViews>
    <sheetView zoomScale="90" zoomScaleNormal="90" workbookViewId="0">
      <selection activeCell="F2" sqref="F2"/>
    </sheetView>
  </sheetViews>
  <sheetFormatPr baseColWidth="10" defaultColWidth="9" defaultRowHeight="14"/>
  <cols>
    <col min="1" max="1" width="10" customWidth="1"/>
    <col min="2" max="2" width="21.796875" customWidth="1"/>
    <col min="3" max="3" width="22.19921875" customWidth="1"/>
    <col min="4" max="4" width="27.3984375" customWidth="1"/>
    <col min="5" max="5" width="12.3984375" customWidth="1"/>
    <col min="6" max="6" width="32.3984375" customWidth="1"/>
    <col min="7" max="7" width="26.796875" customWidth="1"/>
    <col min="8" max="8" width="28.796875" customWidth="1"/>
    <col min="9" max="9" width="29.796875" customWidth="1"/>
    <col min="10" max="10" width="31.19921875" customWidth="1"/>
    <col min="11" max="11" width="22.19921875" customWidth="1"/>
  </cols>
  <sheetData>
    <row r="1" spans="1:11">
      <c r="A1" s="1" t="s">
        <v>56</v>
      </c>
      <c r="B1" s="1" t="s">
        <v>55</v>
      </c>
      <c r="C1" s="1" t="s">
        <v>54</v>
      </c>
      <c r="D1" s="1" t="s">
        <v>53</v>
      </c>
      <c r="E1" s="1" t="s">
        <v>52</v>
      </c>
      <c r="F1" s="1" t="s">
        <v>51</v>
      </c>
      <c r="G1" s="1" t="s">
        <v>50</v>
      </c>
      <c r="H1" s="1" t="s">
        <v>49</v>
      </c>
      <c r="I1" s="1" t="s">
        <v>48</v>
      </c>
      <c r="J1" s="1" t="s">
        <v>47</v>
      </c>
      <c r="K1" s="1" t="s">
        <v>46</v>
      </c>
    </row>
    <row r="2" spans="1:11">
      <c r="A2">
        <v>1</v>
      </c>
      <c r="B2" t="s">
        <v>45</v>
      </c>
      <c r="C2" t="s">
        <v>44</v>
      </c>
      <c r="D2" t="s">
        <v>43</v>
      </c>
      <c r="E2" t="s">
        <v>37</v>
      </c>
      <c r="F2">
        <v>500</v>
      </c>
      <c r="G2">
        <v>200</v>
      </c>
      <c r="H2">
        <v>150</v>
      </c>
      <c r="I2">
        <f>F2+G2-H2</f>
        <v>550</v>
      </c>
      <c r="J2" t="s">
        <v>42</v>
      </c>
      <c r="K2" t="s">
        <v>41</v>
      </c>
    </row>
    <row r="3" spans="1:11">
      <c r="A3">
        <v>2</v>
      </c>
      <c r="B3" t="s">
        <v>40</v>
      </c>
      <c r="C3" t="s">
        <v>39</v>
      </c>
      <c r="D3" t="s">
        <v>38</v>
      </c>
      <c r="E3" t="s">
        <v>37</v>
      </c>
      <c r="F3">
        <v>300</v>
      </c>
      <c r="G3">
        <v>100</v>
      </c>
      <c r="H3">
        <v>180</v>
      </c>
      <c r="I3">
        <f>F3+G3-H3</f>
        <v>220</v>
      </c>
      <c r="J3" t="s">
        <v>36</v>
      </c>
      <c r="K3" t="s">
        <v>35</v>
      </c>
    </row>
  </sheetData>
  <phoneticPr fontId="1" type="noConversion"/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9"/>
  <sheetViews>
    <sheetView zoomScaleNormal="100" workbookViewId="0">
      <selection activeCell="H25" sqref="H25"/>
    </sheetView>
  </sheetViews>
  <sheetFormatPr baseColWidth="10" defaultColWidth="9" defaultRowHeight="14"/>
  <cols>
    <col min="1" max="1" width="7.796875" style="12" customWidth="1"/>
    <col min="2" max="2" width="40.19921875" style="12" customWidth="1"/>
    <col min="3" max="3" width="12.796875" style="12" customWidth="1"/>
    <col min="4" max="4" width="16.59765625" style="12" customWidth="1"/>
    <col min="5" max="5" width="14.19921875" style="12" customWidth="1"/>
    <col min="6" max="6" width="8.796875" style="27" customWidth="1"/>
    <col min="7" max="7" width="14.796875" style="28" customWidth="1"/>
    <col min="8" max="8" width="17.796875" style="28" customWidth="1"/>
    <col min="9" max="9" width="18.796875" style="12" customWidth="1"/>
    <col min="10" max="16384" width="9" style="12"/>
  </cols>
  <sheetData>
    <row r="1" spans="1:9" ht="30" customHeight="1">
      <c r="A1" s="84" t="s">
        <v>73</v>
      </c>
      <c r="B1" s="84"/>
      <c r="C1" s="84"/>
      <c r="D1" s="84"/>
      <c r="E1" s="84"/>
      <c r="F1" s="84"/>
      <c r="G1" s="84"/>
      <c r="H1" s="84"/>
    </row>
    <row r="2" spans="1:9" ht="22.25" customHeight="1">
      <c r="A2" s="85" t="s">
        <v>218</v>
      </c>
      <c r="B2" s="85"/>
      <c r="C2" s="85"/>
      <c r="D2" s="85"/>
      <c r="E2" s="85"/>
      <c r="F2" s="85"/>
      <c r="G2" s="85"/>
      <c r="H2" s="85"/>
    </row>
    <row r="3" spans="1:9">
      <c r="A3" s="86" t="s">
        <v>18</v>
      </c>
      <c r="B3" s="86"/>
      <c r="C3" s="76"/>
      <c r="D3" s="76"/>
      <c r="E3" s="76"/>
      <c r="F3" s="76"/>
      <c r="G3" s="76"/>
      <c r="H3" s="76"/>
    </row>
    <row r="5" spans="1:9" s="10" customFormat="1" ht="19.5" customHeight="1">
      <c r="A5" s="89" t="s">
        <v>220</v>
      </c>
      <c r="B5" s="89"/>
      <c r="C5" s="89"/>
      <c r="E5" s="19"/>
      <c r="F5" s="45" t="s">
        <v>221</v>
      </c>
      <c r="G5" s="40"/>
      <c r="H5" s="41"/>
    </row>
    <row r="6" spans="1:9" s="10" customFormat="1" ht="5" customHeight="1">
      <c r="E6" s="19"/>
      <c r="F6" s="42"/>
      <c r="G6" s="41"/>
      <c r="H6" s="41"/>
    </row>
    <row r="7" spans="1:9" s="10" customFormat="1" ht="17" customHeight="1">
      <c r="A7" s="36" t="s">
        <v>222</v>
      </c>
      <c r="B7" s="36"/>
      <c r="C7" s="36"/>
      <c r="E7" s="19"/>
      <c r="F7" s="45" t="s">
        <v>223</v>
      </c>
      <c r="G7" s="42"/>
      <c r="H7" s="41"/>
    </row>
    <row r="8" spans="1:9" s="10" customFormat="1" ht="17" customHeight="1">
      <c r="A8" s="36" t="s">
        <v>22</v>
      </c>
      <c r="F8" s="45" t="s">
        <v>9</v>
      </c>
      <c r="G8" s="41"/>
      <c r="H8" s="41"/>
    </row>
    <row r="9" spans="1:9" s="10" customFormat="1" ht="17" customHeight="1">
      <c r="A9" s="36" t="s">
        <v>224</v>
      </c>
      <c r="B9" s="36"/>
      <c r="C9" s="36"/>
      <c r="F9" s="15"/>
      <c r="G9" s="41"/>
      <c r="H9" s="41"/>
    </row>
    <row r="10" spans="1:9" s="10" customFormat="1" ht="17.5" customHeight="1">
      <c r="A10" s="76" t="s">
        <v>226</v>
      </c>
      <c r="B10" s="76"/>
      <c r="C10" s="76"/>
      <c r="D10" s="76"/>
      <c r="E10" s="76"/>
      <c r="F10" s="76"/>
      <c r="G10" s="76"/>
      <c r="H10" s="76"/>
      <c r="I10" s="76"/>
    </row>
    <row r="11" spans="1:9" s="10" customFormat="1" ht="29.5" customHeight="1">
      <c r="A11" s="37" t="s">
        <v>71</v>
      </c>
      <c r="B11" s="8" t="s">
        <v>68</v>
      </c>
      <c r="C11" s="37" t="s">
        <v>225</v>
      </c>
      <c r="D11" s="38" t="s">
        <v>213</v>
      </c>
      <c r="E11" s="38" t="s">
        <v>211</v>
      </c>
      <c r="F11" s="43" t="s">
        <v>212</v>
      </c>
      <c r="G11" s="43" t="s">
        <v>219</v>
      </c>
      <c r="H11" s="43" t="s">
        <v>209</v>
      </c>
      <c r="I11" s="37" t="s">
        <v>210</v>
      </c>
    </row>
    <row r="12" spans="1:9" s="10" customFormat="1" ht="19" customHeight="1">
      <c r="A12" s="4">
        <v>1</v>
      </c>
      <c r="B12" s="7" t="s">
        <v>176</v>
      </c>
      <c r="C12" s="4" t="s">
        <v>177</v>
      </c>
      <c r="D12" s="4" t="s">
        <v>178</v>
      </c>
      <c r="E12" s="4" t="s">
        <v>204</v>
      </c>
      <c r="F12" s="14">
        <v>1</v>
      </c>
      <c r="G12" s="14">
        <v>48020</v>
      </c>
      <c r="H12" s="14">
        <f>F12*G12</f>
        <v>48020</v>
      </c>
      <c r="I12" s="39"/>
    </row>
    <row r="13" spans="1:9" s="10" customFormat="1" ht="19" customHeight="1">
      <c r="A13" s="4">
        <v>2</v>
      </c>
      <c r="B13" s="7" t="s">
        <v>179</v>
      </c>
      <c r="C13" s="4" t="s">
        <v>180</v>
      </c>
      <c r="D13" s="4" t="s">
        <v>182</v>
      </c>
      <c r="E13" s="4" t="s">
        <v>183</v>
      </c>
      <c r="F13" s="14">
        <v>1</v>
      </c>
      <c r="G13" s="14">
        <v>115</v>
      </c>
      <c r="H13" s="14">
        <f t="shared" ref="H13:H14" si="0">F13*G13</f>
        <v>115</v>
      </c>
      <c r="I13" s="39"/>
    </row>
    <row r="14" spans="1:9" s="10" customFormat="1" ht="19" customHeight="1">
      <c r="A14" s="4">
        <v>3</v>
      </c>
      <c r="B14" s="7" t="s">
        <v>184</v>
      </c>
      <c r="C14" s="4" t="s">
        <v>185</v>
      </c>
      <c r="D14" s="4" t="s">
        <v>187</v>
      </c>
      <c r="E14" s="4" t="s">
        <v>188</v>
      </c>
      <c r="F14" s="14">
        <v>1</v>
      </c>
      <c r="G14" s="14">
        <v>98000</v>
      </c>
      <c r="H14" s="14">
        <f t="shared" si="0"/>
        <v>98000</v>
      </c>
      <c r="I14" s="39"/>
    </row>
    <row r="15" spans="1:9" s="10" customFormat="1" ht="19" customHeight="1">
      <c r="A15" s="90" t="s">
        <v>217</v>
      </c>
      <c r="B15" s="91"/>
      <c r="C15" s="91"/>
      <c r="D15" s="91"/>
      <c r="E15" s="91"/>
      <c r="F15" s="91"/>
      <c r="G15" s="91"/>
      <c r="H15" s="92"/>
      <c r="I15" s="39"/>
    </row>
    <row r="16" spans="1:9" s="10" customFormat="1" ht="19" customHeight="1">
      <c r="A16" s="94"/>
      <c r="B16" s="95"/>
      <c r="C16" s="95"/>
      <c r="D16" s="95"/>
      <c r="E16" s="95"/>
      <c r="F16" s="93" t="s">
        <v>24</v>
      </c>
      <c r="G16" s="93"/>
      <c r="H16" s="44">
        <f>SUM(H12:H15)</f>
        <v>146135</v>
      </c>
      <c r="I16" s="39"/>
    </row>
    <row r="17" spans="1:9" s="10" customFormat="1" ht="19" customHeight="1">
      <c r="A17" s="96" t="s">
        <v>215</v>
      </c>
      <c r="B17" s="97"/>
      <c r="C17" s="97"/>
      <c r="D17" s="97"/>
      <c r="E17" s="97"/>
      <c r="F17" s="93" t="s">
        <v>214</v>
      </c>
      <c r="G17" s="93"/>
      <c r="H17" s="44">
        <f>H16*8%</f>
        <v>11690.800000000001</v>
      </c>
      <c r="I17" s="39"/>
    </row>
    <row r="18" spans="1:9" s="10" customFormat="1" ht="19" customHeight="1">
      <c r="A18" s="94"/>
      <c r="B18" s="95"/>
      <c r="C18" s="95"/>
      <c r="D18" s="95"/>
      <c r="E18" s="95"/>
      <c r="F18" s="93" t="s">
        <v>25</v>
      </c>
      <c r="G18" s="93"/>
      <c r="H18" s="44">
        <f>H16+H17</f>
        <v>157825.79999999999</v>
      </c>
      <c r="I18" s="39"/>
    </row>
    <row r="19" spans="1:9" s="10" customFormat="1" ht="13">
      <c r="F19" s="15"/>
      <c r="G19" s="41"/>
      <c r="H19" s="41"/>
    </row>
    <row r="20" spans="1:9" s="10" customFormat="1" ht="13">
      <c r="A20" s="87" t="s">
        <v>26</v>
      </c>
      <c r="B20" s="87"/>
      <c r="C20" s="87"/>
      <c r="D20" s="87"/>
      <c r="E20" s="87"/>
      <c r="F20" s="87"/>
      <c r="G20" s="87"/>
      <c r="H20" s="87"/>
    </row>
    <row r="21" spans="1:9" s="10" customFormat="1" ht="13">
      <c r="A21" s="10" t="s">
        <v>72</v>
      </c>
      <c r="F21" s="15"/>
      <c r="G21" s="41"/>
      <c r="H21" s="41"/>
    </row>
    <row r="22" spans="1:9" s="10" customFormat="1" ht="13">
      <c r="A22" s="10">
        <v>1</v>
      </c>
      <c r="F22" s="15"/>
      <c r="G22" s="41"/>
      <c r="H22" s="41"/>
    </row>
    <row r="23" spans="1:9" s="10" customFormat="1" ht="13">
      <c r="A23" s="10">
        <v>2</v>
      </c>
      <c r="F23" s="15"/>
      <c r="G23" s="41"/>
      <c r="H23" s="41"/>
    </row>
    <row r="24" spans="1:9" s="10" customFormat="1" ht="13">
      <c r="A24" s="10">
        <v>3</v>
      </c>
      <c r="F24" s="15"/>
      <c r="G24" s="41"/>
      <c r="H24" s="41"/>
    </row>
    <row r="25" spans="1:9" s="10" customFormat="1" ht="13">
      <c r="A25" s="10">
        <v>4</v>
      </c>
      <c r="F25" s="15"/>
      <c r="G25" s="41"/>
      <c r="H25" s="41"/>
    </row>
    <row r="26" spans="1:9" s="10" customFormat="1" ht="13">
      <c r="A26" s="10">
        <v>5</v>
      </c>
      <c r="F26" s="15"/>
      <c r="G26" s="41"/>
      <c r="H26" s="41"/>
    </row>
    <row r="27" spans="1:9" s="10" customFormat="1" ht="13">
      <c r="A27" s="10">
        <v>6</v>
      </c>
      <c r="F27" s="15"/>
      <c r="G27" s="41"/>
      <c r="H27" s="41"/>
    </row>
    <row r="28" spans="1:9" s="10" customFormat="1" ht="13">
      <c r="A28" s="87" t="s">
        <v>27</v>
      </c>
      <c r="B28" s="87"/>
      <c r="C28" s="87"/>
      <c r="D28" s="87"/>
      <c r="E28" s="87"/>
      <c r="F28" s="87"/>
      <c r="G28" s="88" t="s">
        <v>29</v>
      </c>
      <c r="H28" s="88"/>
    </row>
    <row r="29" spans="1:9" s="10" customFormat="1" ht="13">
      <c r="F29" s="15"/>
      <c r="G29" s="41"/>
      <c r="H29" s="41"/>
    </row>
  </sheetData>
  <mergeCells count="16">
    <mergeCell ref="A28:C28"/>
    <mergeCell ref="D28:F28"/>
    <mergeCell ref="G28:H28"/>
    <mergeCell ref="A20:H20"/>
    <mergeCell ref="A1:H1"/>
    <mergeCell ref="A2:H2"/>
    <mergeCell ref="A3:H3"/>
    <mergeCell ref="A5:C5"/>
    <mergeCell ref="A10:I10"/>
    <mergeCell ref="A15:H15"/>
    <mergeCell ref="F18:G18"/>
    <mergeCell ref="F17:G17"/>
    <mergeCell ref="F16:G16"/>
    <mergeCell ref="A18:E18"/>
    <mergeCell ref="A17:E17"/>
    <mergeCell ref="A16:E16"/>
  </mergeCells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2"/>
  <sheetViews>
    <sheetView topLeftCell="A22" zoomScaleNormal="100" zoomScaleSheetLayoutView="50" workbookViewId="0">
      <selection activeCell="I20" sqref="I20"/>
    </sheetView>
  </sheetViews>
  <sheetFormatPr baseColWidth="10" defaultColWidth="9" defaultRowHeight="14"/>
  <cols>
    <col min="1" max="1" width="6" style="24" customWidth="1"/>
    <col min="2" max="2" width="15.59765625" style="24" customWidth="1"/>
    <col min="3" max="3" width="35.796875" style="24" customWidth="1"/>
    <col min="4" max="4" width="16.3984375" style="24" customWidth="1"/>
    <col min="5" max="5" width="17" style="24" customWidth="1"/>
    <col min="6" max="6" width="10" style="24" customWidth="1"/>
    <col min="7" max="7" width="16.59765625" style="46" customWidth="1"/>
    <col min="8" max="8" width="17.796875" style="24" customWidth="1"/>
    <col min="9" max="16384" width="9" style="24"/>
  </cols>
  <sheetData>
    <row r="1" spans="1:8" ht="23">
      <c r="A1" s="84" t="s">
        <v>73</v>
      </c>
      <c r="B1" s="84"/>
      <c r="C1" s="84"/>
      <c r="D1" s="84"/>
      <c r="E1" s="84"/>
      <c r="F1" s="84"/>
      <c r="G1" s="84"/>
    </row>
    <row r="2" spans="1:8" ht="22.25" customHeight="1">
      <c r="A2" s="85" t="s">
        <v>74</v>
      </c>
      <c r="B2" s="85"/>
      <c r="C2" s="85"/>
      <c r="D2" s="85"/>
      <c r="E2" s="85"/>
      <c r="F2" s="85"/>
      <c r="G2" s="85"/>
    </row>
    <row r="3" spans="1:8">
      <c r="A3" s="86" t="s">
        <v>30</v>
      </c>
      <c r="B3" s="86"/>
      <c r="C3" s="86"/>
      <c r="D3" s="86"/>
      <c r="E3" s="86"/>
      <c r="F3" s="86"/>
      <c r="G3" s="86"/>
    </row>
    <row r="5" spans="1:8" ht="19" customHeight="1">
      <c r="A5" s="99" t="s">
        <v>76</v>
      </c>
      <c r="B5" s="98"/>
      <c r="C5" s="25" t="s">
        <v>207</v>
      </c>
      <c r="E5" s="25" t="s">
        <v>227</v>
      </c>
      <c r="F5" s="25"/>
      <c r="G5" s="46" t="str">
        <f>IFERROR(INDEX(#REF!, MATCH($C$5,#REF!, 0)), "")</f>
        <v/>
      </c>
    </row>
    <row r="6" spans="1:8" ht="5" customHeight="1"/>
    <row r="7" spans="1:8" ht="16.5" customHeight="1">
      <c r="A7" s="99" t="s">
        <v>20</v>
      </c>
      <c r="B7" s="98"/>
      <c r="C7" s="24" t="s">
        <v>133</v>
      </c>
    </row>
    <row r="8" spans="1:8" ht="16.5" customHeight="1">
      <c r="A8" s="99" t="s">
        <v>22</v>
      </c>
      <c r="B8" s="98"/>
    </row>
    <row r="9" spans="1:8" ht="16.5" customHeight="1">
      <c r="A9" s="99" t="s">
        <v>23</v>
      </c>
      <c r="B9" s="98"/>
      <c r="C9" s="24" t="s">
        <v>136</v>
      </c>
    </row>
    <row r="10" spans="1:8" ht="18.5" customHeight="1">
      <c r="A10" s="98" t="s">
        <v>228</v>
      </c>
      <c r="B10" s="98"/>
      <c r="C10" s="98"/>
      <c r="D10" s="98"/>
      <c r="E10" s="98"/>
      <c r="F10" s="98"/>
      <c r="G10" s="98"/>
    </row>
    <row r="11" spans="1:8" s="19" customFormat="1" ht="30.5" customHeight="1">
      <c r="A11" s="37" t="s">
        <v>71</v>
      </c>
      <c r="B11" s="37" t="s">
        <v>77</v>
      </c>
      <c r="C11" s="8" t="s">
        <v>68</v>
      </c>
      <c r="D11" s="37" t="s">
        <v>229</v>
      </c>
      <c r="E11" s="38" t="s">
        <v>213</v>
      </c>
      <c r="F11" s="38" t="s">
        <v>211</v>
      </c>
      <c r="G11" s="43" t="s">
        <v>212</v>
      </c>
      <c r="H11" s="37" t="s">
        <v>210</v>
      </c>
    </row>
    <row r="12" spans="1:8" s="19" customFormat="1" ht="18" customHeight="1">
      <c r="A12" s="4">
        <v>1</v>
      </c>
      <c r="B12" s="4" t="s">
        <v>200</v>
      </c>
      <c r="C12" s="7" t="s">
        <v>144</v>
      </c>
      <c r="D12" s="4" t="s">
        <v>145</v>
      </c>
      <c r="E12" s="4" t="s">
        <v>146</v>
      </c>
      <c r="F12" s="4" t="s">
        <v>147</v>
      </c>
      <c r="G12" s="14">
        <v>5040</v>
      </c>
      <c r="H12" s="7"/>
    </row>
    <row r="13" spans="1:8" s="19" customFormat="1" ht="18" customHeight="1">
      <c r="A13" s="4">
        <v>2</v>
      </c>
      <c r="B13" s="4" t="s">
        <v>200</v>
      </c>
      <c r="C13" s="7" t="s">
        <v>149</v>
      </c>
      <c r="D13" s="4" t="s">
        <v>150</v>
      </c>
      <c r="E13" s="4" t="s">
        <v>151</v>
      </c>
      <c r="F13" s="4" t="s">
        <v>147</v>
      </c>
      <c r="G13" s="14">
        <v>960</v>
      </c>
      <c r="H13" s="7"/>
    </row>
    <row r="14" spans="1:8" s="19" customFormat="1" ht="18" customHeight="1">
      <c r="A14" s="4">
        <v>3</v>
      </c>
      <c r="B14" s="4" t="s">
        <v>200</v>
      </c>
      <c r="C14" s="7" t="s">
        <v>201</v>
      </c>
      <c r="D14" s="4" t="s">
        <v>153</v>
      </c>
      <c r="E14" s="4" t="s">
        <v>154</v>
      </c>
      <c r="F14" s="4" t="s">
        <v>147</v>
      </c>
      <c r="G14" s="14">
        <v>2520</v>
      </c>
      <c r="H14" s="7"/>
    </row>
    <row r="15" spans="1:8" s="19" customFormat="1" ht="18" customHeight="1">
      <c r="A15" s="4">
        <v>4</v>
      </c>
      <c r="B15" s="4" t="s">
        <v>200</v>
      </c>
      <c r="C15" s="7" t="s">
        <v>155</v>
      </c>
      <c r="D15" s="4" t="s">
        <v>156</v>
      </c>
      <c r="E15" s="4" t="s">
        <v>157</v>
      </c>
      <c r="F15" s="4" t="s">
        <v>147</v>
      </c>
      <c r="G15" s="14">
        <v>480</v>
      </c>
      <c r="H15" s="7"/>
    </row>
    <row r="16" spans="1:8" s="19" customFormat="1" ht="18" customHeight="1">
      <c r="A16" s="4">
        <v>5</v>
      </c>
      <c r="B16" s="4" t="s">
        <v>200</v>
      </c>
      <c r="C16" s="7" t="s">
        <v>202</v>
      </c>
      <c r="D16" s="4" t="s">
        <v>159</v>
      </c>
      <c r="E16" s="4" t="s">
        <v>161</v>
      </c>
      <c r="F16" s="4" t="s">
        <v>147</v>
      </c>
      <c r="G16" s="14">
        <v>3000</v>
      </c>
      <c r="H16" s="7"/>
    </row>
    <row r="17" spans="1:8" s="19" customFormat="1" ht="18" customHeight="1">
      <c r="A17" s="4">
        <v>6</v>
      </c>
      <c r="B17" s="4" t="s">
        <v>200</v>
      </c>
      <c r="C17" s="7" t="s">
        <v>163</v>
      </c>
      <c r="D17" s="4" t="s">
        <v>164</v>
      </c>
      <c r="E17" s="4" t="s">
        <v>165</v>
      </c>
      <c r="F17" s="4" t="s">
        <v>147</v>
      </c>
      <c r="G17" s="14">
        <v>3000</v>
      </c>
      <c r="H17" s="7"/>
    </row>
    <row r="18" spans="1:8" s="19" customFormat="1" ht="18" customHeight="1">
      <c r="A18" s="90"/>
      <c r="B18" s="91"/>
      <c r="C18" s="91"/>
      <c r="D18" s="92"/>
      <c r="E18" s="100" t="s">
        <v>230</v>
      </c>
      <c r="F18" s="101"/>
      <c r="G18" s="20">
        <f>SUM(G12:G17)</f>
        <v>15000</v>
      </c>
      <c r="H18" s="7"/>
    </row>
    <row r="19" spans="1:8" s="19" customFormat="1" ht="15.5" customHeight="1">
      <c r="G19" s="45"/>
    </row>
    <row r="20" spans="1:8">
      <c r="G20" s="47"/>
    </row>
    <row r="22" spans="1:8">
      <c r="A22" s="98" t="s">
        <v>26</v>
      </c>
      <c r="B22" s="98"/>
      <c r="C22" s="98"/>
      <c r="D22" s="98"/>
      <c r="E22" s="98"/>
      <c r="F22" s="98"/>
      <c r="G22" s="98"/>
    </row>
    <row r="23" spans="1:8">
      <c r="A23" s="24" t="s">
        <v>72</v>
      </c>
    </row>
    <row r="24" spans="1:8">
      <c r="A24" s="24">
        <v>1</v>
      </c>
    </row>
    <row r="25" spans="1:8">
      <c r="A25" s="24">
        <v>2</v>
      </c>
    </row>
    <row r="26" spans="1:8">
      <c r="A26" s="24">
        <v>3</v>
      </c>
    </row>
    <row r="27" spans="1:8">
      <c r="A27" s="24">
        <v>4</v>
      </c>
    </row>
    <row r="28" spans="1:8">
      <c r="A28" s="24">
        <v>5</v>
      </c>
    </row>
    <row r="29" spans="1:8">
      <c r="A29" s="24">
        <v>6</v>
      </c>
    </row>
    <row r="32" spans="1:8">
      <c r="A32" s="98" t="s">
        <v>27</v>
      </c>
      <c r="B32" s="98"/>
      <c r="C32" s="98"/>
      <c r="D32" s="98"/>
      <c r="G32" s="46" t="s">
        <v>29</v>
      </c>
    </row>
  </sheetData>
  <mergeCells count="12">
    <mergeCell ref="A1:G1"/>
    <mergeCell ref="A2:G2"/>
    <mergeCell ref="A32:D32"/>
    <mergeCell ref="A8:B8"/>
    <mergeCell ref="A9:B9"/>
    <mergeCell ref="A10:G10"/>
    <mergeCell ref="A22:G22"/>
    <mergeCell ref="A7:B7"/>
    <mergeCell ref="A3:G3"/>
    <mergeCell ref="A5:B5"/>
    <mergeCell ref="E18:F18"/>
    <mergeCell ref="A18:D18"/>
  </mergeCells>
  <phoneticPr fontId="1" type="noConversion"/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2E262-F215-0E4F-AF6B-5BE9BE19CB16}">
  <dimension ref="A1:D15"/>
  <sheetViews>
    <sheetView zoomScale="190" zoomScaleNormal="190" workbookViewId="0">
      <selection activeCell="D13" sqref="D13"/>
    </sheetView>
  </sheetViews>
  <sheetFormatPr baseColWidth="10" defaultRowHeight="14"/>
  <cols>
    <col min="4" max="4" width="18.19921875" customWidth="1"/>
  </cols>
  <sheetData>
    <row r="1" spans="1:4">
      <c r="A1" t="s">
        <v>274</v>
      </c>
      <c r="B1" s="61" t="s">
        <v>137</v>
      </c>
      <c r="C1" s="5" t="s">
        <v>148</v>
      </c>
      <c r="D1" s="5" t="s">
        <v>147</v>
      </c>
    </row>
    <row r="2" spans="1:4">
      <c r="A2" t="s">
        <v>276</v>
      </c>
      <c r="B2" s="5" t="s">
        <v>160</v>
      </c>
      <c r="C2" s="5" t="s">
        <v>162</v>
      </c>
      <c r="D2" s="5" t="s">
        <v>312</v>
      </c>
    </row>
    <row r="3" spans="1:4">
      <c r="A3" t="s">
        <v>278</v>
      </c>
      <c r="B3" s="5" t="s">
        <v>95</v>
      </c>
      <c r="C3" s="5" t="s">
        <v>175</v>
      </c>
      <c r="D3" s="5" t="s">
        <v>183</v>
      </c>
    </row>
    <row r="4" spans="1:4">
      <c r="B4" s="5" t="s">
        <v>181</v>
      </c>
      <c r="C4" s="5" t="s">
        <v>189</v>
      </c>
      <c r="D4" s="5" t="s">
        <v>188</v>
      </c>
    </row>
    <row r="5" spans="1:4">
      <c r="B5" s="5" t="s">
        <v>186</v>
      </c>
      <c r="C5" s="5" t="s">
        <v>302</v>
      </c>
      <c r="D5" s="5" t="s">
        <v>293</v>
      </c>
    </row>
    <row r="6" spans="1:4">
      <c r="B6" s="2" t="s">
        <v>256</v>
      </c>
      <c r="C6" s="5" t="s">
        <v>303</v>
      </c>
      <c r="D6" s="5" t="s">
        <v>307</v>
      </c>
    </row>
    <row r="7" spans="1:4">
      <c r="B7" s="5" t="s">
        <v>281</v>
      </c>
      <c r="C7" s="62" t="s">
        <v>304</v>
      </c>
      <c r="D7" s="5" t="s">
        <v>308</v>
      </c>
    </row>
    <row r="8" spans="1:4">
      <c r="B8" s="5" t="s">
        <v>282</v>
      </c>
      <c r="D8" s="5" t="s">
        <v>309</v>
      </c>
    </row>
    <row r="9" spans="1:4">
      <c r="B9" s="5" t="s">
        <v>283</v>
      </c>
      <c r="D9" s="5" t="s">
        <v>310</v>
      </c>
    </row>
    <row r="10" spans="1:4">
      <c r="B10" s="5" t="s">
        <v>285</v>
      </c>
      <c r="D10" s="5" t="s">
        <v>313</v>
      </c>
    </row>
    <row r="11" spans="1:4">
      <c r="B11" s="5" t="s">
        <v>286</v>
      </c>
      <c r="D11" s="5" t="s">
        <v>314</v>
      </c>
    </row>
    <row r="12" spans="1:4">
      <c r="B12" s="5" t="s">
        <v>287</v>
      </c>
      <c r="D12" s="5" t="s">
        <v>315</v>
      </c>
    </row>
    <row r="13" spans="1:4">
      <c r="B13" s="5" t="s">
        <v>288</v>
      </c>
    </row>
    <row r="14" spans="1:4">
      <c r="B14" s="5" t="s">
        <v>289</v>
      </c>
    </row>
    <row r="15" spans="1:4">
      <c r="B15" s="5" t="s">
        <v>290</v>
      </c>
    </row>
  </sheetData>
  <phoneticPr fontId="1" type="noConversion"/>
  <dataValidations count="1">
    <dataValidation type="list" allowBlank="1" showInputMessage="1" showErrorMessage="1" sqref="F11" xr:uid="{0CFCBE6D-510E-F04E-8F4D-74BBBAD183E4}">
      <formula1>$A$1:$A$3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具名範圍</vt:lpstr>
      </vt:variant>
      <vt:variant>
        <vt:i4>3</vt:i4>
      </vt:variant>
    </vt:vector>
  </HeadingPairs>
  <TitlesOfParts>
    <vt:vector size="12" baseType="lpstr">
      <vt:lpstr>材料 BOM 表</vt:lpstr>
      <vt:lpstr>供應商明細表</vt:lpstr>
      <vt:lpstr>客戶明細表</vt:lpstr>
      <vt:lpstr>客戶訂單明細</vt:lpstr>
      <vt:lpstr>採購單</vt:lpstr>
      <vt:lpstr>已出貨 未出貨明細表 </vt:lpstr>
      <vt:lpstr>報價單</vt:lpstr>
      <vt:lpstr>出貨單</vt:lpstr>
      <vt:lpstr>工作表1</vt:lpstr>
      <vt:lpstr>出貨單!Print_Area</vt:lpstr>
      <vt:lpstr>採購單!Print_Area</vt:lpstr>
      <vt:lpstr>報價單!Print_Area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 Danny</cp:lastModifiedBy>
  <cp:lastPrinted>2025-09-11T00:13:44Z</cp:lastPrinted>
  <dcterms:created xsi:type="dcterms:W3CDTF">2025-08-23T04:56:49Z</dcterms:created>
  <dcterms:modified xsi:type="dcterms:W3CDTF">2025-12-23T06:24:06Z</dcterms:modified>
</cp:coreProperties>
</file>